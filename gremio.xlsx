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Bosonic\Project\Gemini\HardwareApp\"/>
    </mc:Choice>
  </mc:AlternateContent>
  <xr:revisionPtr revIDLastSave="0" documentId="13_ncr:1_{48582D94-05C4-4B9C-B8AD-43524CAE0E6F}" xr6:coauthVersionLast="47" xr6:coauthVersionMax="47" xr10:uidLastSave="{00000000-0000-0000-0000-000000000000}"/>
  <bookViews>
    <workbookView xWindow="-108" yWindow="-108" windowWidth="23256" windowHeight="12456" xr2:uid="{3E04CBC6-E4DA-47F7-A125-1027F63B69F3}"/>
  </bookViews>
  <sheets>
    <sheet name="principal" sheetId="1" r:id="rId1"/>
    <sheet name="categorias" sheetId="2" r:id="rId2"/>
    <sheet name="nuevos productoss" sheetId="4" r:id="rId3"/>
    <sheet name="Sheet1" sheetId="3" r:id="rId4"/>
  </sheets>
  <definedNames>
    <definedName name="_xlnm._FilterDatabase" localSheetId="0" hidden="1">principal!$A$1:$K$561</definedName>
    <definedName name="_xlnm._FilterDatabase" localSheetId="3" hidden="1">Sheet1!$A$1:$R$101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4" i="1" l="1"/>
  <c r="O576" i="1"/>
  <c r="O568" i="1"/>
  <c r="O560" i="1"/>
  <c r="O552" i="1"/>
  <c r="O544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590" i="1"/>
  <c r="O590" i="1" s="1"/>
  <c r="M589" i="1"/>
  <c r="O589" i="1" s="1"/>
  <c r="M588" i="1"/>
  <c r="O588" i="1" s="1"/>
  <c r="M587" i="1"/>
  <c r="O587" i="1" s="1"/>
  <c r="M586" i="1"/>
  <c r="O586" i="1" s="1"/>
  <c r="M585" i="1"/>
  <c r="O585" i="1" s="1"/>
  <c r="M584" i="1"/>
  <c r="M583" i="1"/>
  <c r="O583" i="1" s="1"/>
  <c r="M582" i="1"/>
  <c r="O582" i="1" s="1"/>
  <c r="M581" i="1"/>
  <c r="O581" i="1" s="1"/>
  <c r="M580" i="1"/>
  <c r="O580" i="1" s="1"/>
  <c r="M579" i="1"/>
  <c r="O579" i="1" s="1"/>
  <c r="M578" i="1"/>
  <c r="O578" i="1" s="1"/>
  <c r="M577" i="1"/>
  <c r="O577" i="1" s="1"/>
  <c r="M576" i="1"/>
  <c r="M575" i="1"/>
  <c r="O575" i="1" s="1"/>
  <c r="M574" i="1"/>
  <c r="O574" i="1" s="1"/>
  <c r="M573" i="1"/>
  <c r="O573" i="1" s="1"/>
  <c r="M572" i="1"/>
  <c r="O572" i="1" s="1"/>
  <c r="M571" i="1"/>
  <c r="O571" i="1" s="1"/>
  <c r="M570" i="1"/>
  <c r="O570" i="1" s="1"/>
  <c r="M569" i="1"/>
  <c r="O569" i="1" s="1"/>
  <c r="M568" i="1"/>
  <c r="M567" i="1"/>
  <c r="O567" i="1" s="1"/>
  <c r="M566" i="1"/>
  <c r="O566" i="1" s="1"/>
  <c r="M565" i="1"/>
  <c r="O565" i="1" s="1"/>
  <c r="M564" i="1"/>
  <c r="O564" i="1" s="1"/>
  <c r="M563" i="1"/>
  <c r="O563" i="1" s="1"/>
  <c r="M562" i="1"/>
  <c r="O562" i="1" s="1"/>
  <c r="M561" i="1"/>
  <c r="O561" i="1" s="1"/>
  <c r="M560" i="1"/>
  <c r="M559" i="1"/>
  <c r="O559" i="1" s="1"/>
  <c r="M558" i="1"/>
  <c r="O558" i="1" s="1"/>
  <c r="M557" i="1"/>
  <c r="O557" i="1" s="1"/>
  <c r="M556" i="1"/>
  <c r="O556" i="1" s="1"/>
  <c r="M555" i="1"/>
  <c r="O555" i="1" s="1"/>
  <c r="M554" i="1"/>
  <c r="O554" i="1" s="1"/>
  <c r="M553" i="1"/>
  <c r="O553" i="1" s="1"/>
  <c r="M552" i="1"/>
  <c r="M551" i="1"/>
  <c r="O551" i="1" s="1"/>
  <c r="M550" i="1"/>
  <c r="O550" i="1" s="1"/>
  <c r="M549" i="1"/>
  <c r="O549" i="1" s="1"/>
  <c r="M548" i="1"/>
  <c r="O548" i="1" s="1"/>
  <c r="M547" i="1"/>
  <c r="O547" i="1" s="1"/>
  <c r="M546" i="1"/>
  <c r="O546" i="1" s="1"/>
  <c r="M545" i="1"/>
  <c r="O545" i="1" s="1"/>
  <c r="M544" i="1"/>
  <c r="M543" i="1"/>
  <c r="O543" i="1" s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C2" i="1" s="1"/>
  <c r="D2" i="1" s="1"/>
  <c r="C3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4" i="1"/>
  <c r="D4" i="1" s="1"/>
  <c r="G474" i="4"/>
  <c r="G469" i="4"/>
  <c r="G484" i="4"/>
  <c r="G460" i="4"/>
  <c r="G379" i="4"/>
  <c r="G378" i="4"/>
  <c r="G457" i="4"/>
  <c r="G202" i="4"/>
  <c r="G201" i="4"/>
  <c r="G458" i="4"/>
  <c r="G459" i="4"/>
  <c r="G206" i="4"/>
  <c r="G247" i="4"/>
  <c r="G513" i="4"/>
  <c r="G514" i="4"/>
  <c r="G154" i="4"/>
  <c r="G152" i="4"/>
  <c r="G153" i="4"/>
  <c r="G151" i="4"/>
  <c r="G136" i="4"/>
  <c r="G135" i="4"/>
  <c r="G134" i="4"/>
  <c r="G133" i="4"/>
  <c r="G132" i="4"/>
  <c r="G131" i="4"/>
  <c r="G130" i="4"/>
  <c r="G129" i="4"/>
  <c r="G139" i="4"/>
  <c r="G140" i="4"/>
  <c r="G138" i="4"/>
  <c r="G137" i="4"/>
  <c r="G478" i="4"/>
  <c r="G477" i="4"/>
  <c r="G320" i="4"/>
  <c r="G319" i="4"/>
  <c r="G322" i="4"/>
  <c r="G321" i="4"/>
  <c r="G318" i="4"/>
  <c r="G317" i="4"/>
  <c r="G316" i="4"/>
  <c r="G315" i="4"/>
  <c r="G314" i="4"/>
  <c r="G150" i="4"/>
  <c r="G262" i="4"/>
  <c r="G263" i="4"/>
  <c r="G224" i="4"/>
  <c r="G71" i="4"/>
  <c r="G145" i="4"/>
  <c r="G374" i="4"/>
  <c r="G225" i="4"/>
  <c r="G143" i="4"/>
  <c r="G142" i="4"/>
  <c r="G264" i="4"/>
  <c r="G223" i="4"/>
  <c r="G464" i="4"/>
  <c r="G466" i="4"/>
  <c r="G467" i="4"/>
  <c r="G465" i="4"/>
  <c r="G148" i="4"/>
  <c r="G128" i="4"/>
  <c r="G146" i="4"/>
  <c r="G144" i="4"/>
  <c r="G435" i="4"/>
  <c r="G180" i="4"/>
  <c r="G431" i="4"/>
  <c r="G149" i="4"/>
  <c r="G178" i="4"/>
  <c r="G512" i="4"/>
  <c r="G147" i="4"/>
  <c r="G434" i="4"/>
  <c r="G432" i="4"/>
  <c r="G353" i="4"/>
  <c r="G433" i="4"/>
  <c r="G366" i="4"/>
  <c r="G179" i="4"/>
  <c r="G226" i="4"/>
  <c r="G365" i="4"/>
  <c r="G333" i="4"/>
  <c r="G373" i="4"/>
  <c r="G4" i="4"/>
  <c r="G438" i="4"/>
  <c r="G427" i="4"/>
  <c r="G426" i="4"/>
  <c r="G188" i="4"/>
  <c r="G283" i="4"/>
  <c r="G284" i="4"/>
  <c r="G425" i="4"/>
  <c r="G428" i="4"/>
  <c r="G300" i="4"/>
  <c r="G429" i="4"/>
  <c r="G402" i="4"/>
  <c r="G235" i="4"/>
  <c r="G282" i="4"/>
  <c r="G219" i="4"/>
  <c r="G281" i="4"/>
  <c r="G311" i="4"/>
  <c r="G421" i="4"/>
  <c r="G476" i="4"/>
  <c r="G475" i="4"/>
  <c r="G323" i="4"/>
  <c r="G341" i="4"/>
  <c r="G340" i="4"/>
  <c r="G273" i="4"/>
  <c r="G442" i="4"/>
  <c r="G277" i="4"/>
  <c r="G276" i="4"/>
  <c r="G510" i="4"/>
  <c r="G275" i="4"/>
  <c r="G274" i="4"/>
  <c r="G430" i="4"/>
  <c r="G5" i="4"/>
  <c r="G171" i="4"/>
  <c r="G511" i="4"/>
  <c r="G191" i="4"/>
  <c r="G192" i="4"/>
  <c r="G445" i="4"/>
  <c r="G444" i="4"/>
  <c r="G173" i="4"/>
  <c r="G376" i="4"/>
  <c r="G377" i="4"/>
  <c r="G200" i="4"/>
  <c r="G38" i="4"/>
  <c r="G509" i="4"/>
  <c r="G199" i="4"/>
  <c r="G508" i="4"/>
  <c r="G72" i="4"/>
  <c r="G6" i="4"/>
  <c r="G330" i="4"/>
  <c r="G329" i="4"/>
  <c r="G181" i="4"/>
  <c r="G328" i="4"/>
  <c r="G236" i="4"/>
  <c r="G468" i="4"/>
  <c r="G222" i="4"/>
  <c r="G354" i="4"/>
  <c r="G356" i="4"/>
  <c r="G443" i="4"/>
  <c r="G453" i="4"/>
  <c r="G452" i="4"/>
  <c r="G450" i="4"/>
  <c r="G451" i="4"/>
  <c r="G441" i="4"/>
  <c r="G440" i="4"/>
  <c r="G447" i="4"/>
  <c r="G412" i="4"/>
  <c r="G411" i="4"/>
  <c r="G446" i="4"/>
  <c r="G410" i="4"/>
  <c r="G327" i="4"/>
  <c r="G326" i="4"/>
  <c r="G337" i="4"/>
  <c r="G364" i="4"/>
  <c r="G405" i="4"/>
  <c r="G363" i="4"/>
  <c r="G182" i="4"/>
  <c r="G183" i="4"/>
  <c r="G303" i="4"/>
  <c r="G507" i="4"/>
  <c r="G245" i="4"/>
  <c r="G506" i="4"/>
  <c r="G505" i="4"/>
  <c r="G158" i="4"/>
  <c r="G160" i="4"/>
  <c r="G159" i="4"/>
  <c r="G161" i="4"/>
  <c r="G157" i="4"/>
  <c r="G156" i="4"/>
  <c r="G362" i="4"/>
  <c r="G361" i="4"/>
  <c r="G360" i="4"/>
  <c r="G352" i="4"/>
  <c r="G407" i="4"/>
  <c r="G280" i="4"/>
  <c r="G358" i="4"/>
  <c r="G409" i="4"/>
  <c r="G408" i="4"/>
  <c r="G357" i="4"/>
  <c r="G162" i="4"/>
  <c r="G344" i="4"/>
  <c r="G343" i="4"/>
  <c r="G342" i="4"/>
  <c r="G215" i="4"/>
  <c r="G234" i="4"/>
  <c r="G47" i="4"/>
  <c r="G339" i="4"/>
  <c r="G251" i="4"/>
  <c r="G254" i="4"/>
  <c r="G252" i="4"/>
  <c r="G253" i="4"/>
  <c r="G250" i="4"/>
  <c r="G210" i="4"/>
  <c r="G209" i="4"/>
  <c r="G214" i="4"/>
  <c r="G213" i="4"/>
  <c r="G212" i="4"/>
  <c r="G292" i="4"/>
  <c r="G291" i="4"/>
  <c r="G290" i="4"/>
  <c r="G211" i="4"/>
  <c r="G208" i="4"/>
  <c r="G44" i="4"/>
  <c r="G482" i="4"/>
  <c r="G189" i="4"/>
  <c r="G483" i="4"/>
  <c r="G301" i="4"/>
  <c r="G455" i="4"/>
  <c r="G286" i="4"/>
  <c r="G299" i="4"/>
  <c r="G167" i="4"/>
  <c r="G166" i="4"/>
  <c r="G165" i="4"/>
  <c r="G164" i="4"/>
  <c r="G289" i="4"/>
  <c r="G288" i="4"/>
  <c r="G287" i="4"/>
  <c r="G308" i="4"/>
  <c r="G439" i="4"/>
  <c r="G437" i="4"/>
  <c r="G338" i="4"/>
  <c r="G298" i="4"/>
  <c r="G187" i="4"/>
  <c r="G186" i="4"/>
  <c r="G309" i="4"/>
  <c r="G310" i="4"/>
  <c r="G324" i="4"/>
  <c r="G185" i="4"/>
  <c r="G184" i="4"/>
  <c r="G456" i="4"/>
  <c r="G461" i="4"/>
  <c r="G248" i="4"/>
  <c r="G504" i="4"/>
  <c r="G312" i="4"/>
  <c r="G168" i="4"/>
  <c r="G249" i="4"/>
  <c r="G406" i="4"/>
  <c r="G241" i="4"/>
  <c r="G398" i="4"/>
  <c r="G501" i="4"/>
  <c r="G194" i="4"/>
  <c r="G75" i="4"/>
  <c r="G304" i="4"/>
  <c r="G74" i="4"/>
  <c r="G260" i="4"/>
  <c r="G155" i="4"/>
  <c r="G503" i="4"/>
  <c r="G242" i="4"/>
  <c r="G502" i="4"/>
  <c r="G285" i="4"/>
  <c r="G244" i="4"/>
  <c r="G307" i="4"/>
  <c r="G221" i="4"/>
  <c r="G500" i="4"/>
  <c r="G239" i="4"/>
  <c r="G238" i="4"/>
  <c r="G9" i="4"/>
  <c r="G371" i="4"/>
  <c r="G372" i="4"/>
  <c r="G8" i="4"/>
  <c r="G10" i="4"/>
  <c r="G7" i="4"/>
  <c r="G190" i="4"/>
  <c r="G306" i="4"/>
  <c r="G279" i="4"/>
  <c r="G278" i="4"/>
  <c r="G370" i="4"/>
  <c r="G369" i="4"/>
  <c r="G368" i="4"/>
  <c r="G367" i="4"/>
  <c r="G302" i="4"/>
  <c r="G265" i="4"/>
  <c r="G220" i="4"/>
  <c r="G332" i="4"/>
  <c r="G240" i="4"/>
  <c r="G261" i="4"/>
  <c r="G218" i="4"/>
  <c r="G355" i="4"/>
  <c r="G359" i="4"/>
  <c r="G48" i="4"/>
  <c r="G463" i="4"/>
  <c r="G39" i="4"/>
  <c r="G498" i="4"/>
  <c r="G462" i="4"/>
  <c r="G216" i="4"/>
  <c r="G217" i="4"/>
  <c r="G325" i="4"/>
  <c r="G499" i="4"/>
  <c r="G228" i="4"/>
  <c r="G227" i="4"/>
  <c r="G43" i="4"/>
  <c r="G42" i="4"/>
  <c r="G40" i="4"/>
  <c r="G375" i="4"/>
  <c r="G403" i="4"/>
  <c r="G205" i="4"/>
  <c r="G204" i="4"/>
  <c r="G203" i="4"/>
  <c r="G313" i="4"/>
  <c r="G207" i="4"/>
  <c r="G195" i="4"/>
  <c r="G172" i="4"/>
  <c r="G174" i="4"/>
  <c r="G473" i="4"/>
  <c r="G177" i="4"/>
  <c r="G176" i="4"/>
  <c r="G175" i="4"/>
  <c r="G470" i="4"/>
  <c r="G471" i="4"/>
  <c r="G400" i="4"/>
  <c r="G163" i="4"/>
  <c r="G399" i="4"/>
  <c r="G495" i="4"/>
  <c r="G331" i="4"/>
  <c r="G404" i="4"/>
  <c r="G497" i="4"/>
  <c r="G472" i="4"/>
  <c r="G494" i="4"/>
  <c r="G243" i="4"/>
  <c r="G496" i="4"/>
  <c r="G492" i="4"/>
  <c r="G493" i="4"/>
  <c r="G246" i="4"/>
  <c r="G103" i="4"/>
  <c r="G104" i="4"/>
  <c r="G69" i="4"/>
  <c r="G64" i="4"/>
  <c r="G68" i="4"/>
  <c r="G66" i="4"/>
  <c r="G67" i="4"/>
  <c r="G63" i="4"/>
  <c r="G61" i="4"/>
  <c r="G62" i="4"/>
  <c r="G59" i="4"/>
  <c r="G60" i="4"/>
  <c r="G54" i="4"/>
  <c r="G55" i="4"/>
  <c r="G65" i="4"/>
  <c r="G57" i="4"/>
  <c r="G53" i="4"/>
  <c r="G58" i="4"/>
  <c r="G70" i="4"/>
  <c r="G56" i="4"/>
  <c r="G391" i="4"/>
  <c r="G396" i="4"/>
  <c r="G395" i="4"/>
  <c r="G390" i="4"/>
  <c r="G389" i="4"/>
  <c r="G388" i="4"/>
  <c r="G387" i="4"/>
  <c r="G394" i="4"/>
  <c r="G393" i="4"/>
  <c r="G392" i="4"/>
  <c r="G386" i="4"/>
  <c r="G385" i="4"/>
  <c r="G383" i="4"/>
  <c r="G381" i="4"/>
  <c r="G384" i="4"/>
  <c r="G382" i="4"/>
  <c r="G491" i="4"/>
  <c r="G380" i="4"/>
  <c r="G35" i="4"/>
  <c r="G30" i="4"/>
  <c r="G32" i="4"/>
  <c r="G31" i="4"/>
  <c r="G237" i="4"/>
  <c r="G229" i="4"/>
  <c r="G127" i="4"/>
  <c r="G125" i="4"/>
  <c r="G126" i="4"/>
  <c r="G124" i="4"/>
  <c r="G78" i="4"/>
  <c r="G81" i="4"/>
  <c r="G79" i="4"/>
  <c r="G80" i="4"/>
  <c r="G89" i="4"/>
  <c r="G87" i="4"/>
  <c r="G88" i="4"/>
  <c r="G86" i="4"/>
  <c r="G84" i="4"/>
  <c r="G82" i="4"/>
  <c r="G83" i="4"/>
  <c r="G85" i="4"/>
  <c r="G77" i="4"/>
  <c r="G76" i="4"/>
  <c r="G73" i="4"/>
  <c r="G490" i="4"/>
  <c r="G117" i="4"/>
  <c r="G114" i="4"/>
  <c r="G116" i="4"/>
  <c r="G115" i="4"/>
  <c r="G119" i="4"/>
  <c r="G120" i="4"/>
  <c r="G118" i="4"/>
  <c r="G121" i="4"/>
  <c r="G113" i="4"/>
  <c r="G110" i="4"/>
  <c r="G112" i="4"/>
  <c r="G111" i="4"/>
  <c r="G272" i="4"/>
  <c r="G269" i="4"/>
  <c r="G270" i="4"/>
  <c r="G268" i="4"/>
  <c r="G267" i="4"/>
  <c r="G266" i="4"/>
  <c r="G108" i="4"/>
  <c r="G100" i="4"/>
  <c r="G102" i="4"/>
  <c r="G101" i="4"/>
  <c r="G99" i="4"/>
  <c r="G97" i="4"/>
  <c r="G98" i="4"/>
  <c r="G231" i="4"/>
  <c r="G233" i="4"/>
  <c r="G232" i="4"/>
  <c r="G230" i="4"/>
  <c r="G52" i="4"/>
  <c r="G51" i="4"/>
  <c r="G50" i="4"/>
  <c r="G49" i="4"/>
  <c r="G196" i="4"/>
  <c r="G198" i="4"/>
  <c r="G197" i="4"/>
  <c r="G271" i="4"/>
  <c r="G122" i="4"/>
  <c r="G109" i="4"/>
  <c r="G123" i="4"/>
  <c r="G96" i="4"/>
  <c r="G95" i="4"/>
  <c r="G94" i="4"/>
  <c r="G93" i="4"/>
  <c r="G90" i="4"/>
  <c r="G92" i="4"/>
  <c r="G91" i="4"/>
  <c r="G413" i="4"/>
  <c r="G415" i="4"/>
  <c r="G414" i="4"/>
  <c r="G416" i="4"/>
  <c r="G418" i="4"/>
  <c r="G420" i="4"/>
  <c r="G419" i="4"/>
  <c r="G417" i="4"/>
  <c r="G105" i="4"/>
  <c r="G106" i="4"/>
  <c r="G107" i="4"/>
  <c r="G14" i="4"/>
  <c r="G297" i="4"/>
  <c r="G397" i="4"/>
  <c r="G296" i="4"/>
  <c r="G295" i="4"/>
  <c r="G293" i="4"/>
  <c r="G294" i="4"/>
  <c r="G169" i="4"/>
  <c r="G170" i="4"/>
  <c r="G20" i="4"/>
  <c r="G22" i="4"/>
  <c r="G21" i="4"/>
  <c r="G255" i="4"/>
  <c r="G436" i="4"/>
  <c r="G41" i="4"/>
  <c r="G424" i="4"/>
  <c r="G423" i="4"/>
  <c r="G422" i="4"/>
  <c r="G13" i="4"/>
  <c r="G27" i="4"/>
  <c r="G454" i="4"/>
  <c r="G29" i="4"/>
  <c r="G28" i="4"/>
  <c r="G19" i="4"/>
  <c r="G489" i="4"/>
  <c r="G26" i="4"/>
  <c r="G25" i="4"/>
  <c r="G24" i="4"/>
  <c r="G23" i="4"/>
  <c r="G17" i="4"/>
  <c r="G18" i="4"/>
  <c r="G141" i="4"/>
  <c r="G16" i="4"/>
  <c r="G349" i="4"/>
  <c r="G347" i="4"/>
  <c r="G346" i="4"/>
  <c r="G351" i="4"/>
  <c r="G350" i="4"/>
  <c r="G348" i="4"/>
  <c r="G345" i="4"/>
  <c r="G37" i="4"/>
  <c r="G36" i="4"/>
  <c r="G193" i="4"/>
  <c r="G34" i="4"/>
  <c r="G33" i="4"/>
  <c r="G46" i="4"/>
  <c r="G45" i="4"/>
  <c r="G401" i="4"/>
  <c r="G334" i="4"/>
  <c r="G481" i="4"/>
  <c r="G480" i="4"/>
  <c r="G479" i="4"/>
  <c r="G259" i="4"/>
  <c r="G257" i="4"/>
  <c r="G258" i="4"/>
  <c r="G256" i="4"/>
  <c r="G15" i="4"/>
  <c r="G488" i="4"/>
  <c r="G11" i="4"/>
  <c r="G12" i="4"/>
  <c r="G448" i="4"/>
  <c r="G449" i="4"/>
  <c r="G305" i="4"/>
  <c r="G487" i="4"/>
  <c r="G486" i="4"/>
  <c r="G485" i="4"/>
  <c r="G336" i="4"/>
  <c r="G335" i="4"/>
  <c r="J560" i="1"/>
  <c r="I560" i="1"/>
  <c r="H560" i="1"/>
  <c r="Q2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D3" i="1" l="1"/>
  <c r="E3" i="1"/>
  <c r="E2" i="1"/>
</calcChain>
</file>

<file path=xl/sharedStrings.xml><?xml version="1.0" encoding="utf-8"?>
<sst xmlns="http://schemas.openxmlformats.org/spreadsheetml/2006/main" count="8134" uniqueCount="1971">
  <si>
    <t>PRODUCTO</t>
  </si>
  <si>
    <t>GARANTIA</t>
  </si>
  <si>
    <t>PUBLICO</t>
  </si>
  <si>
    <t>GREMIO</t>
  </si>
  <si>
    <t>STOCK</t>
  </si>
  <si>
    <t>CODIGO</t>
  </si>
  <si>
    <t>ADAPTADOR PAD NUMERICO GENIUS USB 110</t>
  </si>
  <si>
    <t>NN0P069</t>
  </si>
  <si>
    <t>NNDVIHDMI</t>
  </si>
  <si>
    <t>MA530</t>
  </si>
  <si>
    <t>UB500PLUS</t>
  </si>
  <si>
    <t>UA520C</t>
  </si>
  <si>
    <t>AURICULAR Y MICROFONO  GENIUS  HS-300N</t>
  </si>
  <si>
    <t>AC0300N</t>
  </si>
  <si>
    <t>AURICULAR Y MICROFONO  NEW GENIUS  HS-04SU</t>
  </si>
  <si>
    <t>AC004US</t>
  </si>
  <si>
    <t>AURICULAR Y MICROFONO  GENIUS  HS-M200C SINGLE JACK</t>
  </si>
  <si>
    <t>AC0M200</t>
  </si>
  <si>
    <t>AURICULAR Y MICROFONO  HEADSET HS-100U USB</t>
  </si>
  <si>
    <t>HS-100U</t>
  </si>
  <si>
    <t>HS-GX580U</t>
  </si>
  <si>
    <t>AURICULAR PLEGABLES  HEADSET GENIUS BLUETOOTH HS-810BT BLACK</t>
  </si>
  <si>
    <t>HS-810BT</t>
  </si>
  <si>
    <t>HSM300</t>
  </si>
  <si>
    <t>X2670BL</t>
  </si>
  <si>
    <t>X2670RJ</t>
  </si>
  <si>
    <t>X2670RS</t>
  </si>
  <si>
    <t>NG-55VL</t>
  </si>
  <si>
    <t>BATERIA 12V 7,0A UPS/ ALARMA   TRV</t>
  </si>
  <si>
    <t>SEG00A7</t>
  </si>
  <si>
    <t>BASE COOLER TRUST KUZO STAND NOTEBOOK GXT 220</t>
  </si>
  <si>
    <t>BASEKUZO</t>
  </si>
  <si>
    <t>BASESTAND</t>
  </si>
  <si>
    <t>AF1443NC</t>
  </si>
  <si>
    <t>BOBINA CABLE SFX INTERIOR  UTP CAT 5E X 300 MTS</t>
  </si>
  <si>
    <t>SFXCAT5IN</t>
  </si>
  <si>
    <t>BOBINA CABLE EXTERIOR KELYX UTP X 300 MTS   CAT 5E</t>
  </si>
  <si>
    <t>AFEXTERIOR</t>
  </si>
  <si>
    <t>CABLE EXTENSION ANTENA 12 MTS TP-LINK TL-ANT24EC12N  ROSCA N</t>
  </si>
  <si>
    <t>E6935364052102</t>
  </si>
  <si>
    <t>CABLE PLANO MAYADO ANDROID USB a MICRO USB 1metro</t>
  </si>
  <si>
    <t>AMINICEL5</t>
  </si>
  <si>
    <t>CABLE  TYPE-C MAYADO    USB 3.2 a Type C 3A 60W 1mt</t>
  </si>
  <si>
    <t>AMINTYPEC</t>
  </si>
  <si>
    <t>PATCH08</t>
  </si>
  <si>
    <t>PATCH18</t>
  </si>
  <si>
    <t>PATCH3</t>
  </si>
  <si>
    <t>CABLE PATCH CORD 5MTS CAT 5E</t>
  </si>
  <si>
    <t>PATCH50</t>
  </si>
  <si>
    <t>CABLE PATCH CORD 10MTS CAT 5E</t>
  </si>
  <si>
    <t>PATCH100</t>
  </si>
  <si>
    <t>CABLE PATCH CORD 15MTS CAT 5E</t>
  </si>
  <si>
    <t>PATCH150</t>
  </si>
  <si>
    <t>CABLE PATCH CORD 20MTS CAT 5E</t>
  </si>
  <si>
    <t>PATCH200</t>
  </si>
  <si>
    <t>AC0P220</t>
  </si>
  <si>
    <t>CELADATA</t>
  </si>
  <si>
    <t>CABLE SATA  DATOS 50 cm</t>
  </si>
  <si>
    <t>AC0SS1</t>
  </si>
  <si>
    <t>CABLE SATA  POWER  SIMPLE 16 cm</t>
  </si>
  <si>
    <t>AC0SA1</t>
  </si>
  <si>
    <t>CABLE HDMI  A HDMI 1,5MTS 1,4v  1080P</t>
  </si>
  <si>
    <t>ACHDMI14</t>
  </si>
  <si>
    <t xml:space="preserve">CABLE HDMI  A HDMI 1,5MTS 4k  </t>
  </si>
  <si>
    <t>ACHDMI154K</t>
  </si>
  <si>
    <t>CABLE HDMI  A HDMI 3MTS   4k</t>
  </si>
  <si>
    <t>ACHDMI3F</t>
  </si>
  <si>
    <t>CABLE HDMI  A HDMI 5MTS 4k</t>
  </si>
  <si>
    <t>ACHDMI5F</t>
  </si>
  <si>
    <t xml:space="preserve">CABLE HDMI  A HDMI 10MTS   </t>
  </si>
  <si>
    <t>ACHDMI10</t>
  </si>
  <si>
    <t xml:space="preserve">CABLE DISPLAY PORT  1.4 4K a 120Hz / 8K 60Hz 48Gbps 1.5   </t>
  </si>
  <si>
    <t>CABLE POWER  220V TREBOL NOTEBOOK</t>
  </si>
  <si>
    <t>AC220TREBOL</t>
  </si>
  <si>
    <t>CABLE UTP CAT5E X MTS INTERIOR  000</t>
  </si>
  <si>
    <t>AF0443</t>
  </si>
  <si>
    <t>CABLE UTP CAT5E X MTS EXTERIOR 0000</t>
  </si>
  <si>
    <t>AF0443EXUV</t>
  </si>
  <si>
    <t>CABLE USB 3.0  3 MTS MACHO  A - A</t>
  </si>
  <si>
    <t>USBA_A</t>
  </si>
  <si>
    <t>CABLE VGA MACHO/MACHO 2 METROS</t>
  </si>
  <si>
    <t>ACVGA1FB</t>
  </si>
  <si>
    <t>CABLE USB 2.0  1.55MTS  PARA IMPRESORA A-B</t>
  </si>
  <si>
    <t>AC0443</t>
  </si>
  <si>
    <t xml:space="preserve">CAMARA IP TAPO C100  Day Night sd Wifi </t>
  </si>
  <si>
    <t>TAPOC100</t>
  </si>
  <si>
    <t>CAMARA IP TAPO C200  Mov Remoto Day Night SD Wi</t>
  </si>
  <si>
    <t>TAPOC200</t>
  </si>
  <si>
    <t>CAMARA IP TAPO C510w  Exterior Mov Remoto Day Night SD Wi</t>
  </si>
  <si>
    <t>TAPOC510W</t>
  </si>
  <si>
    <t>CARGADOR ASUS ASUS 19V 2,37A 4,0X1,35 40W ORIGINAL */*</t>
  </si>
  <si>
    <t>ASUS12V37</t>
  </si>
  <si>
    <t>CARGADOR NOTEBOOK TOSHIBA - 19V 3.42A 5.5×2.5 65W ORIGINAL */*</t>
  </si>
  <si>
    <t>TOS19V342</t>
  </si>
  <si>
    <t>CARGADOR NOTEBOOK HP pin fino azul  - 19.5V 3.32 A 4.×3  65W ORIGINAL */*</t>
  </si>
  <si>
    <t>HPFI195V350</t>
  </si>
  <si>
    <t xml:space="preserve">CARGADOR LITEON ACER - 19V 3,42A 3.0×1mm 65W ORIGINAL   </t>
  </si>
  <si>
    <t>ACER19V342A</t>
  </si>
  <si>
    <t>CARGADOR LITEON ACER - 19V 3,42A 5.5×1.7 65W ORIGINAL    PUNTA AMARILLA</t>
  </si>
  <si>
    <t>ACER19V3AMA</t>
  </si>
  <si>
    <t>CARGADOR NETBOOK ACER mini - 19V 1.58A ORIGINAL */*</t>
  </si>
  <si>
    <t>ACER19V158M</t>
  </si>
  <si>
    <t>CARGADOR NOTEBOOK DELL  19V 3,34A 4,5*3,0MM 65W ORIGINAL */*</t>
  </si>
  <si>
    <t>DEL19V334</t>
  </si>
  <si>
    <t>CARGADOR NOTEBOOK DELL  19.5V 3,33A 7.4*5,0MM 65W ORIGINAL */*</t>
  </si>
  <si>
    <t>DEL195V334</t>
  </si>
  <si>
    <t>CARGADOR ULTRABOOK LENOVO TYPE C - Adlx65 65w</t>
  </si>
  <si>
    <t>LEN20STC</t>
  </si>
  <si>
    <t>CARGADOR ULTRABOOK LENOVO SQUARE - 20V 4,5A 90W  10.5X4 */</t>
  </si>
  <si>
    <t>LEN20SQUA</t>
  </si>
  <si>
    <t>CARGADOR NOTEBOOK LENOVO - 20V 2.25A ORIGINAL  5.5 x 2.5 */*</t>
  </si>
  <si>
    <t>LEN20V325A</t>
  </si>
  <si>
    <t>CARGADOR ULTRABOOK LENOVO - 20V 3.25A  7.0 x 1.7 */ punta fina</t>
  </si>
  <si>
    <t>LEN20V325U</t>
  </si>
  <si>
    <t xml:space="preserve">CARGADOR MONITOR SAMSUNG - 14V 2.14A   FUENTE   </t>
  </si>
  <si>
    <t>SAMS14V214</t>
  </si>
  <si>
    <t>CARGADOR  MONITOR LG - 12V 3A  FUENTE</t>
  </si>
  <si>
    <t>LG12V3A</t>
  </si>
  <si>
    <t xml:space="preserve">CARRY DISK SATA 3.5" INTERNO SATA  </t>
  </si>
  <si>
    <t>AC0C</t>
  </si>
  <si>
    <t>CARRY DISK SSD M.2 HIKSEMI USB 3.2 typeC</t>
  </si>
  <si>
    <t>CARRYM2</t>
  </si>
  <si>
    <t>CARRY DISK SSD  NETAC HD  SSD USB 3.2    SSD WH12</t>
  </si>
  <si>
    <t>CARRYHINET</t>
  </si>
  <si>
    <t>CARRY DISK SSD  HIKSEMI HD  SSD USB 3.2  y  Type C</t>
  </si>
  <si>
    <t>CARRYHI</t>
  </si>
  <si>
    <t xml:space="preserve">CARTUCHO EPSON L3110 - TINTA. NEGRO T544120   </t>
  </si>
  <si>
    <t>T544120</t>
  </si>
  <si>
    <t>CARTUCHO EPSON L3110 - TINTA. MAGENTA T544320</t>
  </si>
  <si>
    <t>T544320</t>
  </si>
  <si>
    <t>CARTUCHO EPSON L3110 - TINTA. AMARILLO T544420</t>
  </si>
  <si>
    <t>T544420</t>
  </si>
  <si>
    <t>CARTUCHO EPSON L3110 - TINTA. CYAN T544220</t>
  </si>
  <si>
    <t>T544220</t>
  </si>
  <si>
    <t xml:space="preserve">CARTUCHO EPSON L4150/4160 - TINTA. AMARILLO T504420 </t>
  </si>
  <si>
    <t>T504420</t>
  </si>
  <si>
    <t>CARTUCHO EPSON L4150/4160 - TINTA. CYAN T504220</t>
  </si>
  <si>
    <t>T504220</t>
  </si>
  <si>
    <t xml:space="preserve">CARTUCHO EPSON L4150/4160 - TINTA. MAGENTA T504320 </t>
  </si>
  <si>
    <t>T504320</t>
  </si>
  <si>
    <t xml:space="preserve">CARTUCHO EPSON L4150/4160 - TINTA. NEGRO T504120 </t>
  </si>
  <si>
    <t>T504120</t>
  </si>
  <si>
    <t>CARTUCHO EPSON T664220-AL CYAN P/L200 210</t>
  </si>
  <si>
    <t>CARL200C</t>
  </si>
  <si>
    <t xml:space="preserve">CARTUCHO EPSON T664320-AL MAGENTA P/L200 210 </t>
  </si>
  <si>
    <t>CARL200M</t>
  </si>
  <si>
    <t>CARTUCHO EPSON T664420-AL AMARILLO P/L200 210 /l350/l555/l355</t>
  </si>
  <si>
    <t>CARL200A</t>
  </si>
  <si>
    <t>CARTUCHO EPSON T664120-AL NEGRO P/L200/210</t>
  </si>
  <si>
    <t>CARL200N</t>
  </si>
  <si>
    <t>CARTUCHO EPSON T673220-AL CYAN P/L800</t>
  </si>
  <si>
    <t>CARL800C</t>
  </si>
  <si>
    <t>CARTUCHO EPSON T673520-AL LIGHT CYAN P/L800</t>
  </si>
  <si>
    <t>CARL800LC</t>
  </si>
  <si>
    <t>CARTUCHO EPSON T673320-AL MAGENTA P/L800</t>
  </si>
  <si>
    <t>CARL800M</t>
  </si>
  <si>
    <t>CARTUCHO EPSON T0734 AMARILLO</t>
  </si>
  <si>
    <t>CART734</t>
  </si>
  <si>
    <t>CARTUCHO EPSON T133420-AL AMARILLO T25 TX125 TX420W</t>
  </si>
  <si>
    <t>CART133A</t>
  </si>
  <si>
    <t xml:space="preserve">CARTUCHO EPSON T0732 CIAN </t>
  </si>
  <si>
    <t>CART732</t>
  </si>
  <si>
    <t>CARTUCHO PWT BOTELLA NEGRA 250cm3 P/EPSON</t>
  </si>
  <si>
    <t>INKDYEN250</t>
  </si>
  <si>
    <t>CARTUCHO PWT EPSON  BOTELLA CIAN  250cm3</t>
  </si>
  <si>
    <t>EPS-ALC</t>
  </si>
  <si>
    <t>CARTUCHO PWT EPSON  BOTELLA MAGENTA 250cm3</t>
  </si>
  <si>
    <t>EPS-ALM</t>
  </si>
  <si>
    <t>CARTUCHO PWT EPSON   BOTELLA AMARILLA 250cm3</t>
  </si>
  <si>
    <t>EPS-ALA</t>
  </si>
  <si>
    <t>CARTUCHO PWT BROTHER BT5001BK NEGRO 250 cm3 P/T300/T500W</t>
  </si>
  <si>
    <t>BT5001BKAL</t>
  </si>
  <si>
    <t>CARTUCHO PWT BROTHER BT5001C  CIAN 250 cm3 P/T300/T500W</t>
  </si>
  <si>
    <t>BT5001C</t>
  </si>
  <si>
    <t>CARTUCHO  PWT BROTHER BT5001M MAGENTA 250 cm3 P/T300/T500W</t>
  </si>
  <si>
    <t>BT5001M</t>
  </si>
  <si>
    <t>CARTUCHO  PWT BROTHER BT5001Y AMARILLO 250 cm3 P/T300/T500W</t>
  </si>
  <si>
    <t>BT5001Y</t>
  </si>
  <si>
    <t>CARTUCHO PWT HP  BOTELLA NEGRA  250cm3</t>
  </si>
  <si>
    <t>GT51-AL</t>
  </si>
  <si>
    <t>CARTUCHO PWT HP  BOTELLA CIAN  250cm3</t>
  </si>
  <si>
    <t>GT51-ALC</t>
  </si>
  <si>
    <t>CARTUCHO PWT HP  BOTELLA MAGENTA 250cm3</t>
  </si>
  <si>
    <t>GT51-ALM</t>
  </si>
  <si>
    <t>CARTUCHO PWT HP  BOTELLA AMARILLA 250cm3</t>
  </si>
  <si>
    <t>GT51-ALA</t>
  </si>
  <si>
    <t>CARTUCHO Powertec   T0633 MAGENTA</t>
  </si>
  <si>
    <t>CARPT633G</t>
  </si>
  <si>
    <t xml:space="preserve">CARTUCHO Powertec   T0632 CIAN </t>
  </si>
  <si>
    <t>CARPT632G</t>
  </si>
  <si>
    <t>CARTUCHO Powertec   T0731  NEGRO</t>
  </si>
  <si>
    <t>CARPT731G</t>
  </si>
  <si>
    <t>CARTUCHO Powertec   T0733 MAGENTA</t>
  </si>
  <si>
    <t>CARPT733G</t>
  </si>
  <si>
    <t>CARTUCHO Powertec   T0734 AMARILLO</t>
  </si>
  <si>
    <t>CARPT734G</t>
  </si>
  <si>
    <t xml:space="preserve">CARTUCHO Powertec   T0732 CIAN </t>
  </si>
  <si>
    <t>CARPT732G</t>
  </si>
  <si>
    <t>CARTUCHO Powertec    T090  NEGRO</t>
  </si>
  <si>
    <t>CART090AL</t>
  </si>
  <si>
    <t>CARTUCHO Powertec    T115 NEGRO</t>
  </si>
  <si>
    <t>INKCARTET1115</t>
  </si>
  <si>
    <t>CARTUCHO Powertec    T117 NEGRO</t>
  </si>
  <si>
    <t>INKCARTET1171</t>
  </si>
  <si>
    <t>CARTUCHO Powertec    T133220-AL CIAN T25 TX125 TX420W</t>
  </si>
  <si>
    <t>INKCARTET133C</t>
  </si>
  <si>
    <t>CARTUCHO Powertec    T133320-AL AMARILLO T25 TX125 TX420W</t>
  </si>
  <si>
    <t>INKCARTET133Y</t>
  </si>
  <si>
    <t>CARTUCHO Powertec   T133420-AL MAGENTA T25 TX125 TX420W</t>
  </si>
  <si>
    <t>INKCARTET133M</t>
  </si>
  <si>
    <t xml:space="preserve">CARTUCHO Powertec   T135 T135120  negro </t>
  </si>
  <si>
    <t>INKGLO135</t>
  </si>
  <si>
    <t xml:space="preserve">CARTUCHO Powertec    Epson T196220  CIAN XP 201 401 </t>
  </si>
  <si>
    <t>CART196CG</t>
  </si>
  <si>
    <t xml:space="preserve">CARTUCHO Powertec    Epson T196320  MAGENTA   XP 201 401 </t>
  </si>
  <si>
    <t>CART196MG</t>
  </si>
  <si>
    <t xml:space="preserve">CARTUCHO Powertec    Epson T196420  AMARILLO   XP 201 401 </t>
  </si>
  <si>
    <t>CART196AG</t>
  </si>
  <si>
    <t>CARTUCHO Alternativo T197120 HC NEGRO XP 201  401 211</t>
  </si>
  <si>
    <t>CART197NG</t>
  </si>
  <si>
    <t xml:space="preserve">CARTUCHO Alternativo T297120 HC NEGRO </t>
  </si>
  <si>
    <t>CART297NP</t>
  </si>
  <si>
    <t xml:space="preserve">CARTUCHO Powertec. T296420  AMARILLO </t>
  </si>
  <si>
    <t>CART296AP</t>
  </si>
  <si>
    <t xml:space="preserve">CARTUCHO Powertec T296320  MAGENTA </t>
  </si>
  <si>
    <t>CART296MP</t>
  </si>
  <si>
    <t xml:space="preserve">CARTUCHO Powertec. T296220  CIAN XP </t>
  </si>
  <si>
    <t>CART296CP</t>
  </si>
  <si>
    <t>CARTUCHO Powertec.   Epson t206  CIAN XP xp-2101</t>
  </si>
  <si>
    <t>CART206CG</t>
  </si>
  <si>
    <t>CARTUCHO Powertec   Epson T206  MAGENTA   xp-2101</t>
  </si>
  <si>
    <t>CART206MG</t>
  </si>
  <si>
    <t>CARTUCHO Powertec   Epson T206  AMARILLO  xp-2101</t>
  </si>
  <si>
    <t>CART206AG</t>
  </si>
  <si>
    <t xml:space="preserve">CARTUCHO Alternativo T206  NEGRO xp-2101 </t>
  </si>
  <si>
    <t>CART206NG</t>
  </si>
  <si>
    <t>CARTUCHO HP 564 CIAN  CB316WL P/HP C6380</t>
  </si>
  <si>
    <t>CAHPC564</t>
  </si>
  <si>
    <t xml:space="preserve">CARTUCHO HP 670 CIAN HP 3525 4615 4625 5525 </t>
  </si>
  <si>
    <t>CARC670</t>
  </si>
  <si>
    <t>CARTUCHO HP 920 NEGRO HP 920</t>
  </si>
  <si>
    <t>CARC940N</t>
  </si>
  <si>
    <t>CARTUCHO Global Electronics 920 NEGRO HP 920</t>
  </si>
  <si>
    <t>CARG920N</t>
  </si>
  <si>
    <t>CARTUCHO Global Electronics 920 CIAN HP 920</t>
  </si>
  <si>
    <t>CARG920C</t>
  </si>
  <si>
    <t>CARTUCHO Global Electronics 920 AMARILLO HP 920</t>
  </si>
  <si>
    <t>CARG920A</t>
  </si>
  <si>
    <t>CARTUCHO Global Electronics 920 MAGENTA HP 920</t>
  </si>
  <si>
    <t>CARG920M</t>
  </si>
  <si>
    <t>CARTUCHO Global Electronics 932 NEGRO HP 933</t>
  </si>
  <si>
    <t>CARG932N</t>
  </si>
  <si>
    <t>CARTUCHO Global Electronics 933 CIAN HP 933</t>
  </si>
  <si>
    <t>CARG933C</t>
  </si>
  <si>
    <t>CARTUCHO Global Electronics 933 AMARILLO HP 933</t>
  </si>
  <si>
    <t>CARG933A</t>
  </si>
  <si>
    <t>CARTUCHO Global Electronics 933 MAGENTA HP 933</t>
  </si>
  <si>
    <t>CARG933M</t>
  </si>
  <si>
    <t>CARTUCHO Global Electronics HP 940 NEGRO HP 8000    C4902AL</t>
  </si>
  <si>
    <t>CARC940NG</t>
  </si>
  <si>
    <t xml:space="preserve">CARTUCHO Global Electronics HP 940 CIAN HP 8000   </t>
  </si>
  <si>
    <t>CARC940NC</t>
  </si>
  <si>
    <t>CARTUCHO Global Electronics HP 940 MAGENTA HP 8000    C4902AL</t>
  </si>
  <si>
    <t>CARC940NM</t>
  </si>
  <si>
    <t xml:space="preserve">CARTUCHO Global Electronics HP 940 AMARIILO  HP 8000    </t>
  </si>
  <si>
    <t>CARC940NA</t>
  </si>
  <si>
    <t>CARTUCHO GLOBAL ELECTRONICS HP 950XL CN045AL  8100 8600 8610</t>
  </si>
  <si>
    <t>CARTGL950XL</t>
  </si>
  <si>
    <t>CARTUCHO GLOBAL ELECTRONICS HP 951XL CN047AL  Magenta</t>
  </si>
  <si>
    <t>CARTGL951M</t>
  </si>
  <si>
    <t xml:space="preserve">CARTUCHO GLOBAL ELECTRONICS HP  951XL CN046AL Cyan  </t>
  </si>
  <si>
    <t>CARTGL951C</t>
  </si>
  <si>
    <t>CARTUCHO GLOBAL ELECTRONICS HP 951XL 951XL CN048AL  Yellow</t>
  </si>
  <si>
    <t>CARTGL951Y</t>
  </si>
  <si>
    <t>Cinta Ribbon Compatible Epson FX890 de 12,7 mm x 12 mts. Negra - Global Electronics (</t>
  </si>
  <si>
    <t>GSTFS31480</t>
  </si>
  <si>
    <t xml:space="preserve">CONTADORA  BILLCOUNTER-1 GLOBAL ELECTRONICS  VERIFIC DINERO LCD DISPLAY  </t>
  </si>
  <si>
    <t>H-302</t>
  </si>
  <si>
    <t>CONECTOR FICHA RJ45 MACHO GLC</t>
  </si>
  <si>
    <t>AF04RJK</t>
  </si>
  <si>
    <t>CONECTOR GLC PACK X 100  RJ45  CAT5E</t>
  </si>
  <si>
    <t>AF04RJX100</t>
  </si>
  <si>
    <t xml:space="preserve">CONECTOR GLC CAT6  PACK X 100  RJ45  </t>
  </si>
  <si>
    <t>AF04RCAT6</t>
  </si>
  <si>
    <t xml:space="preserve">CPU AMD AMD ATHLON 3000g AM4 3,5 Ghz  Box  </t>
  </si>
  <si>
    <t>AM4-3000G</t>
  </si>
  <si>
    <t xml:space="preserve">CPU AMD  Ryzen 3 3200G   Box AM4   </t>
  </si>
  <si>
    <t>RYZEN33200O</t>
  </si>
  <si>
    <t xml:space="preserve">CPU AMD  Ryzen 3 5300G   Box AM4   </t>
  </si>
  <si>
    <t>RYZEN5300G</t>
  </si>
  <si>
    <t xml:space="preserve">CPU AMD  Ryzen 5 5600GT   5 gen     </t>
  </si>
  <si>
    <t>RYZEN5600G</t>
  </si>
  <si>
    <t xml:space="preserve">CPU AMD  Ryzen 5 3600 AM4 3.6GHZ 6 CORE  </t>
  </si>
  <si>
    <t>RYZEN3600</t>
  </si>
  <si>
    <t>CPU AMD RYZEN 5 5500 AM4 SIN VIDEO</t>
  </si>
  <si>
    <t>RYZEN5500</t>
  </si>
  <si>
    <t xml:space="preserve">CPU AMD  Ryzen 7 5700   5 gen  sin video  </t>
  </si>
  <si>
    <t>RYZEN5700</t>
  </si>
  <si>
    <t xml:space="preserve">CPU AMD  Ryzen 7 5700G   5 gen    </t>
  </si>
  <si>
    <t>RYZEN5700G</t>
  </si>
  <si>
    <t xml:space="preserve">CPU AMD  Ryzen 5  AM5  8400F C COOLER SIN VIDEO </t>
  </si>
  <si>
    <t>RYZEN8400F</t>
  </si>
  <si>
    <t>CPU AMD  Ryzen 5 AM5  8500G C COOLER</t>
  </si>
  <si>
    <t>RYZEN8500G</t>
  </si>
  <si>
    <t>CPU AMD  Ryzen 5 AM5  8600G C COOLER</t>
  </si>
  <si>
    <t>RYZEN8600G</t>
  </si>
  <si>
    <t xml:space="preserve">CPU AMD  Ryzen 5 AM5  7600 C COOLER VIDEO </t>
  </si>
  <si>
    <t>RYZEN7600</t>
  </si>
  <si>
    <t xml:space="preserve">CPU AMD  Ryzen 5  AM5  7600x  VIDEO SIN COOLER </t>
  </si>
  <si>
    <t>RYZEN7600X</t>
  </si>
  <si>
    <t xml:space="preserve">CPU AMD  Ryzen 7 AM5  7700 C COOLER VIDEO </t>
  </si>
  <si>
    <t>RYZEN7700</t>
  </si>
  <si>
    <t>CPU AMD  Ryzen 7 AM5  7700x  C VIDEO  sin COOLER</t>
  </si>
  <si>
    <t>RYZEN7700X</t>
  </si>
  <si>
    <t xml:space="preserve">CPU AMD  Ryzen 7 AM5  8700F C COOLER SIN VIDEO </t>
  </si>
  <si>
    <t>RYZEN8700F</t>
  </si>
  <si>
    <t>CPU AMD  Ryzen 7 AM5  8700G C COOLER CON VIDEO</t>
  </si>
  <si>
    <t>RYZEN8700G</t>
  </si>
  <si>
    <t>CPU AMD  Ryzen  9 AM5  7900X  VIDEO  SIN COOLER</t>
  </si>
  <si>
    <t>RYZEN7900X</t>
  </si>
  <si>
    <t xml:space="preserve">CPU INTEL INTEL PENTIUM  G6405   S1200  4.0  </t>
  </si>
  <si>
    <t>BX80701G6405</t>
  </si>
  <si>
    <t>CPU INTEL PENTIUM GOLD G7400 S1700</t>
  </si>
  <si>
    <t>BX80715G7400</t>
  </si>
  <si>
    <t xml:space="preserve">CPU INTEL CORE I3 12100F 12va gen s1700  BOX  BX8071512100 </t>
  </si>
  <si>
    <t>BX8071512100F</t>
  </si>
  <si>
    <t xml:space="preserve">CPU INTEL CORE I3 10105 CometLake  FCLGA1200  BOX </t>
  </si>
  <si>
    <t>BX8070110105</t>
  </si>
  <si>
    <t xml:space="preserve">CPU INTEL CORE I3 12100 12va gen s1700  BOX  BX8071512100 </t>
  </si>
  <si>
    <t>BX8071512100</t>
  </si>
  <si>
    <t xml:space="preserve">CPU INTEL CORE I3 14100 14va gen  RAPTORLAKE s1700  BOX  </t>
  </si>
  <si>
    <t>BX8071514100</t>
  </si>
  <si>
    <t xml:space="preserve">CPU INTEL CORE I5 10400F CometLake  FCLGA1200  BOX </t>
  </si>
  <si>
    <t>BX8070110400F</t>
  </si>
  <si>
    <t xml:space="preserve">CPU INTEL CORE I5 10400 CometLake  FCLGA1200  BOX  </t>
  </si>
  <si>
    <t>BX8070110400</t>
  </si>
  <si>
    <t xml:space="preserve">CPU INTEL CORE I5 12400F 12va gen s1700  BOX </t>
  </si>
  <si>
    <t>BX8071512400F</t>
  </si>
  <si>
    <t xml:space="preserve">CPU INTEL CORE I5 12400 12va gen s1700  BOX  </t>
  </si>
  <si>
    <t>BX8071512400</t>
  </si>
  <si>
    <t xml:space="preserve">CPU INTEL CORE I7 12700F 12va gen s1700  BOX  </t>
  </si>
  <si>
    <t>BX8071512700F</t>
  </si>
  <si>
    <t xml:space="preserve">CPU INTEL CORE I7 12700 12va gen s1700  BOX  </t>
  </si>
  <si>
    <t>BX8071512700</t>
  </si>
  <si>
    <t>CPU INTEL CORE I7 12700K 12va gen s1700  BOX   BX8071512700K</t>
  </si>
  <si>
    <t>BX8071512700K</t>
  </si>
  <si>
    <t xml:space="preserve">CPU INTEL CORE I5 14400F 14va gen  RAPTORLAKE s1700  BOX  </t>
  </si>
  <si>
    <t>BX8071514400F</t>
  </si>
  <si>
    <t xml:space="preserve">CPU INTEL CORE I5 14400 14va gen  RAPTORLAKE s1700  BOX  </t>
  </si>
  <si>
    <t>BX8071514400</t>
  </si>
  <si>
    <t xml:space="preserve">CPU INTEL CORE I7 14700 14va gen  RAPTORLAKE s1700  BOX  </t>
  </si>
  <si>
    <t>BX8071514700</t>
  </si>
  <si>
    <t>CPU INTEL CORE I9 CometLake Core I9 12900kf sin cooler sin  video</t>
  </si>
  <si>
    <t>BX8071512900KF</t>
  </si>
  <si>
    <t xml:space="preserve">CPU INTEL CORE I9  RAPTORLAKE R 14900KF 14 ava Gen. s1700  BOX  </t>
  </si>
  <si>
    <t>BX8071514900F</t>
  </si>
  <si>
    <t>DISCO EXTERNO  320GB  + CARRY USB3,2</t>
  </si>
  <si>
    <t>CARRY320</t>
  </si>
  <si>
    <t xml:space="preserve">DISCO EXTERNO 960 GB  + CARRY USB3,2 </t>
  </si>
  <si>
    <t>CARRY1TB</t>
  </si>
  <si>
    <t xml:space="preserve">DISCO SSD HIKSEMI C100 2.5 120GB </t>
  </si>
  <si>
    <t>C100120H</t>
  </si>
  <si>
    <t>DISCO SSD M.2 HIKSEMI  128GB  m.2 nvme PCIE 3,0</t>
  </si>
  <si>
    <t>HIKSPCI128</t>
  </si>
  <si>
    <t xml:space="preserve">DISCO SOLIDO SDD NETAC N535S 240GB SATA  BOX </t>
  </si>
  <si>
    <t>N535S240</t>
  </si>
  <si>
    <t>DISCO SOLIDO SSD PATRIOT  240Gb  SATA  III</t>
  </si>
  <si>
    <t>PATRIOT240</t>
  </si>
  <si>
    <t xml:space="preserve">DISCO SOLIDO SSD KINGSTON  A400  240Gb     </t>
  </si>
  <si>
    <t>A400G240</t>
  </si>
  <si>
    <t>DISCO SSD M.2 HIKSEMI  256GB  m.2 nvme PCIE 3,0</t>
  </si>
  <si>
    <t>HIKSEMI256</t>
  </si>
  <si>
    <t>DISCO SOLIDO SSD WD 480Gb WESTERN DIGITAL</t>
  </si>
  <si>
    <t>WD480G</t>
  </si>
  <si>
    <t xml:space="preserve">DISCO SOLIDO SSD KINGSTON A400 480Gb SATA III </t>
  </si>
  <si>
    <t>UCSV300480</t>
  </si>
  <si>
    <t>DISCO SOLIDO  M.2 SSD WD 480Gb   SN350 G3 NVME</t>
  </si>
  <si>
    <t>WD480GM2</t>
  </si>
  <si>
    <t xml:space="preserve">DISCO SOLIDO SSD KINGSTON 500G NV3 NVME G4  </t>
  </si>
  <si>
    <t>SNVS-500G</t>
  </si>
  <si>
    <t xml:space="preserve">DISCO SSD NETAC 1TB  N535N M.2 2280 SATAIII 3D NAND </t>
  </si>
  <si>
    <t>N535N1TB</t>
  </si>
  <si>
    <t>DISCO SOLIDO SDD NETAC N535S 960GB SATA  BOX</t>
  </si>
  <si>
    <t>N535S960</t>
  </si>
  <si>
    <t>DISCO 1000 GB 7200  SATA III  SEAGATE IRONWOLF  SERVER</t>
  </si>
  <si>
    <t>SEA1000N</t>
  </si>
  <si>
    <t>DISCO 2000 GB 7200  SATA  WESTERN DIGITAL</t>
  </si>
  <si>
    <t>DC122TER</t>
  </si>
  <si>
    <t>DISCO 2000 GB 7200 SEAGATE Vigilancia Skyhawk purple dvr</t>
  </si>
  <si>
    <t>SEA2000V</t>
  </si>
  <si>
    <t xml:space="preserve">DISCO 4000 GB  WESTERN DIGITAL BLUE     </t>
  </si>
  <si>
    <t>WD40EZRZ</t>
  </si>
  <si>
    <t>DISCO 4000 GB  WESTERN DIGITAL RED PLUS</t>
  </si>
  <si>
    <t>WD40EFPX</t>
  </si>
  <si>
    <t xml:space="preserve">DISCO 4000 GB   DVR WESTERN DIGITAL PURPLE      </t>
  </si>
  <si>
    <t>DP4000</t>
  </si>
  <si>
    <t xml:space="preserve">DISCO 8TB  DVR WESTERN DIGITAL PURPLE      </t>
  </si>
  <si>
    <t>DP8000</t>
  </si>
  <si>
    <t xml:space="preserve">DISCO 8TB  DVR SEAGATE VIGILANCIA PURPLE      </t>
  </si>
  <si>
    <t>DP8000S</t>
  </si>
  <si>
    <t>DISCO 8TB  RED PLUS  WESTERN DIGITAL        WD80EFPX</t>
  </si>
  <si>
    <t>WD80EFPX</t>
  </si>
  <si>
    <t>DISCO 22TB  DVR WESTERN DIGITAL PURPLE  PRO WD221PURP</t>
  </si>
  <si>
    <t>DP22000</t>
  </si>
  <si>
    <t>DISPLAY  NOTEBOOK   CONSULTAR PRECIOS Y MODELOS</t>
  </si>
  <si>
    <t>DISPLAY141</t>
  </si>
  <si>
    <t>EProtector Voltaje 1500W Forza FVP 1202N A Zion 220V</t>
  </si>
  <si>
    <t>EFORZA</t>
  </si>
  <si>
    <t>ESTABILIZADOR FORZA 902A 900VA - 450W</t>
  </si>
  <si>
    <t>FORZA902A</t>
  </si>
  <si>
    <t>ESTABILIZADOR TRV MICROVOLT H 2000</t>
  </si>
  <si>
    <t>MICROVOL2</t>
  </si>
  <si>
    <t>FUENTE  12V 2,1A CAMARAS CCTV cargador dvr</t>
  </si>
  <si>
    <t>FC12V21A</t>
  </si>
  <si>
    <t>FUENTE ATX 550 W 24P SATA kelyx  CAJA MARRON</t>
  </si>
  <si>
    <t>FCKELYX</t>
  </si>
  <si>
    <t xml:space="preserve">FUENTE 600W MAGNUTECH ATX600 </t>
  </si>
  <si>
    <t>FCMAG600</t>
  </si>
  <si>
    <t>FUENTE  SLIM MATX 450 W 24P SATA Kelyx  Cooler</t>
  </si>
  <si>
    <t>SLIM450W</t>
  </si>
  <si>
    <t xml:space="preserve">FUENTE GAMER RAIDMAX GAMER XTB 550W </t>
  </si>
  <si>
    <t>RAIDMAX550</t>
  </si>
  <si>
    <t>FUENTE GAMER AUREOX 500W ARXGP GAMER</t>
  </si>
  <si>
    <t>ARXGP500</t>
  </si>
  <si>
    <t>FUENTE GAMER AUREOX 600W PSU  GAMER</t>
  </si>
  <si>
    <t>AUREOX600</t>
  </si>
  <si>
    <t>FUENTE GAMER AUREOX 650W BRONZE 80+PSU</t>
  </si>
  <si>
    <t>AUREOX650B</t>
  </si>
  <si>
    <t>FUENTE GIGABYTE 650W 80 PLUS WHITE SILVER   GP-P650SS ICE</t>
  </si>
  <si>
    <t>GP-P650SS-ICE</t>
  </si>
  <si>
    <t xml:space="preserve">FUENTE GIGABYTE 750W 80 PLUS BRONZE  GP-P750BS </t>
  </si>
  <si>
    <t>GP-P750BS</t>
  </si>
  <si>
    <t xml:space="preserve">GABINETE TECH MT-K735 KIT  FUENTE 600w TECL. MOUSE </t>
  </si>
  <si>
    <t>MT-K735</t>
  </si>
  <si>
    <t xml:space="preserve">GABINETE GAMER MAGNUTECH 436B FAN LED  </t>
  </si>
  <si>
    <t>GABI-436B</t>
  </si>
  <si>
    <t xml:space="preserve">GABINETE GAMER MAGNUTECH 435R FAN LED sin fuente </t>
  </si>
  <si>
    <t>GABI-435R</t>
  </si>
  <si>
    <t>GABINETE MLOGIX VIEW MAX 180 S/FTE</t>
  </si>
  <si>
    <t>VIEWMAX180</t>
  </si>
  <si>
    <t>GABINETE MLOGIX VIEW MAX 270 WC S/FTE</t>
  </si>
  <si>
    <t>VIEWMAX270</t>
  </si>
  <si>
    <t>GABINETE  PERFORMANCE  SLIM NEW STYLE  600W</t>
  </si>
  <si>
    <t xml:space="preserve">GJLP5836 </t>
  </si>
  <si>
    <t xml:space="preserve">GABINETE GAMER AUREOX EUPHORY ARX 300g  </t>
  </si>
  <si>
    <t>ARX300G</t>
  </si>
  <si>
    <t>GABINETE RAPTOR VORTEX  TG Mid-Tower RGB Back Fan x1  Led EQUIPOS</t>
  </si>
  <si>
    <t>VORTEXRGB</t>
  </si>
  <si>
    <t>GABINETE RAPTOR Blaze Force TG Mid-Tower RGB Fan x1  button control EQUIPOS</t>
  </si>
  <si>
    <t>BLAZERGB</t>
  </si>
  <si>
    <t xml:space="preserve">GRASA SILICONADA C/ PARTICULAS G60METALICAS PASTA JERINGA 5CC </t>
  </si>
  <si>
    <t>PCKIGRAS</t>
  </si>
  <si>
    <t>GRASA SILICONADA C/ PARTICULAS METALICAS A90 gamer</t>
  </si>
  <si>
    <t>PCGRAS</t>
  </si>
  <si>
    <t>GRABADORA DVD PERFORMANCE 22X DL BLACK SATA</t>
  </si>
  <si>
    <t>GC0P038</t>
  </si>
  <si>
    <t>GRABADORA DVD  NEGRA  LITEON  SATA</t>
  </si>
  <si>
    <t>IHAS122</t>
  </si>
  <si>
    <t xml:space="preserve">HUB TRUST HALYX USB 4 PUERTOS  ALUMINIO </t>
  </si>
  <si>
    <t>HALYXHUB</t>
  </si>
  <si>
    <t xml:space="preserve">HUB NETAC USB 4 PUERTOS  ALUMINIO </t>
  </si>
  <si>
    <t>NETACHUB</t>
  </si>
  <si>
    <t>HUB GENIUS UH400  USB C A USB A 4 PUERTOS  PORTABLE</t>
  </si>
  <si>
    <t>GENIUSUH400</t>
  </si>
  <si>
    <t>IMPRESORA TERMICA OCOM 80MM USB RS232 LAN WIFI</t>
  </si>
  <si>
    <t>IMPRETERWIFI</t>
  </si>
  <si>
    <t>IMPRESORA LASER HP  M111A LJ 21 PPM 7MD67A USB</t>
  </si>
  <si>
    <t>M111A</t>
  </si>
  <si>
    <t>IMPRESORA LASER  BROTHER HL 1200  USB</t>
  </si>
  <si>
    <t>PREH1200</t>
  </si>
  <si>
    <t xml:space="preserve">IMPRESORA LASER  BROTHER HL 1212W   WIFI </t>
  </si>
  <si>
    <t>PREH1212W</t>
  </si>
  <si>
    <t>IMPRESORA LASER BROTHER HLL2320D FULL DUPLEX  MONO B&amp;N</t>
  </si>
  <si>
    <t>PREH2320</t>
  </si>
  <si>
    <t>IMPRESORA LASER BROTHER HLL2360DW DULL DUPLEX MONO B&amp;N</t>
  </si>
  <si>
    <t>PREH2360</t>
  </si>
  <si>
    <t>JACK HEMBRA CAT.5 RJ45</t>
  </si>
  <si>
    <t>JACK01</t>
  </si>
  <si>
    <t>JACK HEMBRA CAT.6 RJ45 GLC</t>
  </si>
  <si>
    <t>JACK02</t>
  </si>
  <si>
    <t>LECTOR OCOM LASER OCBS-LA15 USB 1D C/BASE</t>
  </si>
  <si>
    <t>OCBS-LA11</t>
  </si>
  <si>
    <t xml:space="preserve">MALETIN TRUST MALETIN ATLANTA NOTEBOOK 15.6 RECICLED </t>
  </si>
  <si>
    <t>MALECUERO</t>
  </si>
  <si>
    <t>Mother GIGABYTE E3800N CPU Video Radeon R2 4 GB DDR3</t>
  </si>
  <si>
    <t>E3800N</t>
  </si>
  <si>
    <t>MB MSI A520M-A PRO DDR4 MAX HDMI VIDEO SONIDO RYZEN 3RA 5TA</t>
  </si>
  <si>
    <t>A520M-APRO</t>
  </si>
  <si>
    <t>MB ASUS PRIME A520M-K   DDR4  HDMI  3rd Gen AMD Ryze</t>
  </si>
  <si>
    <t>AA520M-K</t>
  </si>
  <si>
    <t xml:space="preserve">MB GIGABYTE A520M-K AM4  VGA HDMI USB  3,0 RED </t>
  </si>
  <si>
    <t>A520M-K</t>
  </si>
  <si>
    <t>MB MSI PRO A620M-E DDR5 AM5 HDMI DDR5</t>
  </si>
  <si>
    <t>PROA620M-E</t>
  </si>
  <si>
    <t>MB ASUS PRIME A620M-K DDR5 HDIM VGA SONIDO VIDEO</t>
  </si>
  <si>
    <t>PRIMEA620M-K</t>
  </si>
  <si>
    <t xml:space="preserve">MB GIGABYTE  A620M H  AM5 HDMI DISPLAY DDR5 </t>
  </si>
  <si>
    <t>A620MH</t>
  </si>
  <si>
    <t xml:space="preserve">MB MSI H510M-B S1200 DDR4   HDMI  </t>
  </si>
  <si>
    <t>H510M-B</t>
  </si>
  <si>
    <t xml:space="preserve">MB ASUS PRIME H510M -R  DDR4 VGA HDMI   USB3 S1200 </t>
  </si>
  <si>
    <t>H510MR</t>
  </si>
  <si>
    <t xml:space="preserve">MB ASUS PRIME H510M-K R2.0 DDR4 VGA HDMI   M2 USB3 S1200 </t>
  </si>
  <si>
    <t>H510MK</t>
  </si>
  <si>
    <t xml:space="preserve">MB ASUS  H610M-K D4 CSM DDR4 </t>
  </si>
  <si>
    <t>H610MK</t>
  </si>
  <si>
    <t>MB GIGABYTE  H610M K DDR5 s1700 12va Gen  V2 HDMI DISPLAY PORT</t>
  </si>
  <si>
    <t>GH610MK5</t>
  </si>
  <si>
    <t>MEMORIA DDR3  8GB MB  1600  HIKSEMI</t>
  </si>
  <si>
    <t>MARK81600</t>
  </si>
  <si>
    <t>MEMORIA DDR4 8GB MB 3200mhz HIKSEMI BULK  HIKER</t>
  </si>
  <si>
    <t>HIKSI8D32</t>
  </si>
  <si>
    <t xml:space="preserve">MEMORIA DDR4  8GB 3200 Kingston  </t>
  </si>
  <si>
    <t>KVR26NS8</t>
  </si>
  <si>
    <t>MEMORIA DDR4 16GB 3200 HIKSEMI CON DISIPADOR RGB</t>
  </si>
  <si>
    <t>HIKSEMI16D</t>
  </si>
  <si>
    <t>MEMORIA DDR4 16GB 3600 HIKSEMI CON DISIPADOR RGB</t>
  </si>
  <si>
    <t>HIKI16D36</t>
  </si>
  <si>
    <t xml:space="preserve">MEMORIA DDR5 8Gb Corsair Vengeance 5200MHz  LPX Black  </t>
  </si>
  <si>
    <t>CMK8GX5M1B5200</t>
  </si>
  <si>
    <t>MEMORIA DDR5 16GB 5600 HIKSEMI CON DISIPADOR</t>
  </si>
  <si>
    <t>HIKSEMD16D5</t>
  </si>
  <si>
    <t>MEMORIA DDR5 32GB 5600 HIKSEMI CON DISIPADOR</t>
  </si>
  <si>
    <t xml:space="preserve">MEMORIA DDR5 32GB KINGSTON 5600MHZ CL </t>
  </si>
  <si>
    <t>HX32C5600</t>
  </si>
  <si>
    <t xml:space="preserve">MEMORIA DDR5 16GB KINGSTON FURY BEAST 5600MHZ CL </t>
  </si>
  <si>
    <t>HX16C5600FURY</t>
  </si>
  <si>
    <t>MEMORIA DDR5 32GB KINGSTON FURY BEAST 5600MHZ CL  RGB</t>
  </si>
  <si>
    <t>HX32C5600FURY</t>
  </si>
  <si>
    <t>MEMORIA 32GB  HIKSEMI MICROSD CLASS 10 C/ADAPTADOR</t>
  </si>
  <si>
    <t>CANVAH32</t>
  </si>
  <si>
    <t xml:space="preserve">MEMORIA SD HC 32 GB  100MB/s SANDISK MICRO SD CLASS 10   Ultra plus  </t>
  </si>
  <si>
    <t>M32SAM84</t>
  </si>
  <si>
    <t>MEMORIA 64GB  HIKSEMI MICROSD CLASS 10 C/ADAPTADOR</t>
  </si>
  <si>
    <t>CANVAH64</t>
  </si>
  <si>
    <t>MEMORIA SD HC 64 GB  80MB/s KINGSTON MICRO SD CLASS 10 MICROSD</t>
  </si>
  <si>
    <t>E740617208108</t>
  </si>
  <si>
    <t>MEMORIA SD HC 64GB   KINGSTON  CANVAS SELECT 100BM/S FOTO</t>
  </si>
  <si>
    <t>MEMOSD64GB</t>
  </si>
  <si>
    <t xml:space="preserve">MEMORIA 256GB KINGSTON MICROSD c/Adap Class 10  Plus </t>
  </si>
  <si>
    <t>SD256GB</t>
  </si>
  <si>
    <t>MEMORIA 256GB KINGSTON MICROSD c/Adap Canvas GO! Plus 4K Camara-Drones</t>
  </si>
  <si>
    <t>SD256MB4K</t>
  </si>
  <si>
    <t xml:space="preserve">MEMORIA SODIMM DDR3  4096 MB HIKSEMI 1600 </t>
  </si>
  <si>
    <t>HIKDDR3_S4</t>
  </si>
  <si>
    <t xml:space="preserve">MEMORIA SODIMM  DDR3L  8 GB   HIKSEMI   1600 </t>
  </si>
  <si>
    <t>SODHIK8GB</t>
  </si>
  <si>
    <t>MEMORIA SODIMM  DDR4L  8 GB   MICRON 2666</t>
  </si>
  <si>
    <t>CRUSOD8GB</t>
  </si>
  <si>
    <t>MEMORIA SODIMM  DDR4L  8 GB  MEMOX  3200</t>
  </si>
  <si>
    <t>SODIMMEMOX</t>
  </si>
  <si>
    <t>MEMORIA SODIMM  DDR4L  8 GB  LEXAR  3200</t>
  </si>
  <si>
    <t>SODIMLEXAR</t>
  </si>
  <si>
    <t xml:space="preserve">MEMORIA SODIMM  DDR4L  16GB HIKVISION  32000MHZ CL22 SINGLE TRAY </t>
  </si>
  <si>
    <t>HIKVISION316</t>
  </si>
  <si>
    <t xml:space="preserve">MEMORIA SODIMM  DDR5  8 GB   KINGSTON 5600   </t>
  </si>
  <si>
    <t>DDR5L8GKING</t>
  </si>
  <si>
    <t>MICROFONO CON PIE TRUST MICO USB</t>
  </si>
  <si>
    <t>MICROFONO</t>
  </si>
  <si>
    <t>MONITOR  PERFORMANCE    PF185F HD HDMI VGA</t>
  </si>
  <si>
    <t>PF185F</t>
  </si>
  <si>
    <t>MONITOR LG  19M38L-B HD HDMI VGA</t>
  </si>
  <si>
    <t>MO19M38A</t>
  </si>
  <si>
    <t xml:space="preserve">MONITOR  LED HIKVISION  22 " DS-D5022FN-C HDMI  VGA FULL HD </t>
  </si>
  <si>
    <t>HIKVISION22</t>
  </si>
  <si>
    <t xml:space="preserve">MONITOR  LED HIKVISION  24"  DS-D5024FN HDMI  VGA FULL HD </t>
  </si>
  <si>
    <t>HIKVISION24</t>
  </si>
  <si>
    <t>MONITOR GAMER 24" ASUS TUF VG249QL3A IPS FHD HDMI 180HZ 1MS</t>
  </si>
  <si>
    <t>VG249QL3A</t>
  </si>
  <si>
    <t>MONITOR ASUS 27" WIDE SCREEN IPS 100HZ</t>
  </si>
  <si>
    <t>VA27EHF-J</t>
  </si>
  <si>
    <t>MOUSE GENIUS   DX-101 USB   NEGRO</t>
  </si>
  <si>
    <t>DX110</t>
  </si>
  <si>
    <t>MOUSE GENIUS   DX-120 USB   VARIOS COLORES</t>
  </si>
  <si>
    <t>DX120</t>
  </si>
  <si>
    <t>MOUSE LOGITECH   USB  M90 Dark Midnight</t>
  </si>
  <si>
    <t>MOUSELOG</t>
  </si>
  <si>
    <t xml:space="preserve">MOUSE GENIUS  MICROTRAVELER BLACK /SILVER RETRACTIL  </t>
  </si>
  <si>
    <t>MCNM237</t>
  </si>
  <si>
    <t xml:space="preserve">MOUSE GENIUS MICROTRAVELER  RUBI  RETRACTIL  </t>
  </si>
  <si>
    <t>MCNM227</t>
  </si>
  <si>
    <t xml:space="preserve">MOUSE GENIUS  NX-7000 USB WIRELESS VARIOS COLORES </t>
  </si>
  <si>
    <t>DX7000A</t>
  </si>
  <si>
    <t xml:space="preserve">MOUSE GENIUS  NX-7009 USB WIRELESS VARIOS COLORES </t>
  </si>
  <si>
    <t>DX7009</t>
  </si>
  <si>
    <t>MOUSE GENIUS  NX-7123 USB WIRELESS BLACK</t>
  </si>
  <si>
    <t>DX7123</t>
  </si>
  <si>
    <t>MOUSE LOGITECH M170  WIRELESS</t>
  </si>
  <si>
    <t>LOGIM170</t>
  </si>
  <si>
    <t>MOUSE GENIUS  NX-8000SBT USB WIRELESS  BLUETOOH</t>
  </si>
  <si>
    <t>NX8000</t>
  </si>
  <si>
    <t>MOUSE TRUST GAMER GTX108 RAVA 6000dpi</t>
  </si>
  <si>
    <t>TRUSTGTX108</t>
  </si>
  <si>
    <t xml:space="preserve">MOUSE TRUST GAMER RIXA Y MOUSE PAD GTX781 </t>
  </si>
  <si>
    <t>TRUSTRIXA</t>
  </si>
  <si>
    <t xml:space="preserve">MOUSE COOLER MASTERMOUSE  S LITE  </t>
  </si>
  <si>
    <t>MASTERMOUSE</t>
  </si>
  <si>
    <t>MULTIFUNCION EPSON L3210  SISTEMA CONTINUO  IMPRESORA ESCANER</t>
  </si>
  <si>
    <t>L3210</t>
  </si>
  <si>
    <t>MULTIFUNCION EPSON L3250  SISTEMA CONTINUO WIFI</t>
  </si>
  <si>
    <t>L3250</t>
  </si>
  <si>
    <t>MULTIFUNCION EPSON L3560  SISTEMA CONTINUO  IMPRESORA ESCANER</t>
  </si>
  <si>
    <t>L3560</t>
  </si>
  <si>
    <t>MULTIFUNCION LASER BROTHER DCP-1617NW 21PPM 600 DPI RED WIFI</t>
  </si>
  <si>
    <t>DCP-1617NW</t>
  </si>
  <si>
    <t>MULTIFUNCION LASER BROTHER DCPL2540DW</t>
  </si>
  <si>
    <t>DCPL2540DW</t>
  </si>
  <si>
    <t>MULTIFUNCION  BROTHER DCPT220 SIST CONTINUO</t>
  </si>
  <si>
    <t>DCPT220</t>
  </si>
  <si>
    <t>MULTIFUNCION  BROTHER DCP-T430W SIST CONTINUO</t>
  </si>
  <si>
    <t>DCP-T420W</t>
  </si>
  <si>
    <t>NOTEBOOK LENOVO 3 15AMN8 15.6" FHD AMD R5 7520U 8GB 5500MHZ DDR5 512GB NVME</t>
  </si>
  <si>
    <t>LR515AMN8</t>
  </si>
  <si>
    <t>NOTEBOOK LENOVO IP Slim 3 15ABR8 R5 5625U 15.6 16GB 3200MHZ 512GB NVME FHD FREE</t>
  </si>
  <si>
    <t>L15ABR8</t>
  </si>
  <si>
    <t>NOTEBOOK  LENOVO 15.6 V15 R3-7320U 16GB SSD512 GTIA1CI</t>
  </si>
  <si>
    <t>V15R37320U</t>
  </si>
  <si>
    <t>NOTEBOOK  ASUS 15.6 E1504 I-N100  15 256G 4G FREE FULL HP</t>
  </si>
  <si>
    <t>M01360</t>
  </si>
  <si>
    <t>NOTEBOOK  ASUS 15.6 E1504 I3 N305 15 256G 8G FREE FULL HP</t>
  </si>
  <si>
    <t>X515EAW</t>
  </si>
  <si>
    <t>NOTEBOOK  ASUS 15.6 E1504 Vivobook Ryzen 5 512GB  8GB FULL HP</t>
  </si>
  <si>
    <t>E1504R</t>
  </si>
  <si>
    <t>NOTEBOOK ASUS VIVOTEC X1504 15.6" FULL HD SSD i5  512G DDR4 16G win 11</t>
  </si>
  <si>
    <t>X515EA_I5</t>
  </si>
  <si>
    <t>NOTEBOOK BANGHO MAX M5  I3  14" 8GB SSD 240  Free WIFI</t>
  </si>
  <si>
    <t>BANGHOM5I3</t>
  </si>
  <si>
    <t>NOTEBOOK BANGHO MAX L4 i1  I3  14" 8GB SSD 240  Free WIFI</t>
  </si>
  <si>
    <t>BANGHOL4I3</t>
  </si>
  <si>
    <t>NOTEBOOK BANGHO 14" MAX L4  Intel i5   SSD480 8GB WIFI BLUETOOTH</t>
  </si>
  <si>
    <t>G14I5CM</t>
  </si>
  <si>
    <t>NOTEBOOK BANGHO 15" MAX L5  Intel i3  SSD240 8GB WIFI BLUETOOTH</t>
  </si>
  <si>
    <t>G3715CM</t>
  </si>
  <si>
    <t>NOTEBOOK BANGHO 14" MAX L5 R5 F Ryzen 5 7430U  NVME 480  8GB WIFI BLUETOOTH</t>
  </si>
  <si>
    <t>L5R5F14</t>
  </si>
  <si>
    <t>NOTEBOOK BANGHO 15" MAX L5 R5 F Ryzen 5 7430U  NVME 480  8GB WIFI BLUETOOTH</t>
  </si>
  <si>
    <t>L5R5F15</t>
  </si>
  <si>
    <t>NOTEBOOK BANGHO 15" MAX L5 R5 F Ryzen 5 7430U  NVME 480  16GB WIFI BLUETOOTH</t>
  </si>
  <si>
    <t>L5R5F1516</t>
  </si>
  <si>
    <t>NOTEBOOK BANGHO 15" MAX L5 AMD Ryzen 7-7730U   NVME 480  16GB WIFI BLUETOOTH</t>
  </si>
  <si>
    <t>L5R7F1516</t>
  </si>
  <si>
    <t>NOTEBOOK BANGHO 15" MAX M5  Intel i5  NVME 480  8GB WIFI BLUETOOTH</t>
  </si>
  <si>
    <t>NOTEBOOK BANGHO 15" MAX M5  Intel i5  NVME 480  16GB WIFI BLUETOOTH</t>
  </si>
  <si>
    <t>G3715CM16</t>
  </si>
  <si>
    <t xml:space="preserve">NOTEBOOK BANGHO 15" MAX L5  Intel i7  16gb NVME 480gb </t>
  </si>
  <si>
    <t>G52J7IFGIF</t>
  </si>
  <si>
    <t>NOTEBOOK BANGHO  Game Master GM 15Z13 RTX3050 i7 13ava F 15.6" FHD ddr4 1TB ssd nvme 16T Freesoft</t>
  </si>
  <si>
    <t>G15Z133050</t>
  </si>
  <si>
    <t>NOTEBOOK BANGHO  Game Master GM 15Z13 RTX4050 i7 13ava F 15.6" FHD ddr4 1TB ssd nvme 16T Freesoft</t>
  </si>
  <si>
    <t>G15Z134050</t>
  </si>
  <si>
    <t xml:space="preserve">NOTEBOOK HP  250 15,6"  I3-1315U 8GB SSD256GB nvme   Free Dos </t>
  </si>
  <si>
    <t>HP255I3</t>
  </si>
  <si>
    <t xml:space="preserve">NOTEBOOK HP 255  15,6"  R3-7330u 8GB SSD256GB nvme   Free Dos </t>
  </si>
  <si>
    <t>HP255R3U8</t>
  </si>
  <si>
    <t xml:space="preserve">NOTEBOOK HP 255  15,6"  R3-7530u 16GB SSD512GB nvme   Free Dos </t>
  </si>
  <si>
    <t>HP255R3U16</t>
  </si>
  <si>
    <t xml:space="preserve">NOTEBOOK HP 255  15,6" R5-7530U 8GB SSD512GB nvme   Free Dos </t>
  </si>
  <si>
    <t>HP255R5U8</t>
  </si>
  <si>
    <t xml:space="preserve">NOTEBOOK HP  250 15,6"  I5-1334U 8GB  512GB nvme   </t>
  </si>
  <si>
    <t>HP255I5</t>
  </si>
  <si>
    <t>PAD1</t>
  </si>
  <si>
    <t>PAD MOUSE TRUST BIGFOOT BLACK APOYA MUÑECA</t>
  </si>
  <si>
    <t>BIGFOOT</t>
  </si>
  <si>
    <t>PAD TECLADO GENIUS G-WP 100 BLK</t>
  </si>
  <si>
    <t>G-WP100S</t>
  </si>
  <si>
    <t>PAD GX GAMING GENIUS 600H RGB</t>
  </si>
  <si>
    <t>G-600HRGB</t>
  </si>
  <si>
    <t xml:space="preserve">PAPEL Glossy Fotografia 4R  100x150 mm 200grs GLOBAL ELECTRONICS 20 hojas </t>
  </si>
  <si>
    <t>PAPELF100</t>
  </si>
  <si>
    <t xml:space="preserve">PAPEL Glossy Fotografia 5R 130x180 mm 200grs GLOBAL ELECTRONICS 20 hojas </t>
  </si>
  <si>
    <t>PAPELF130</t>
  </si>
  <si>
    <t>PAPEL POWERTEC Supercoat  Paper 220g  A4x20H</t>
  </si>
  <si>
    <t>PAPER220</t>
  </si>
  <si>
    <t>PARLANTES PERFORMANCE S2027</t>
  </si>
  <si>
    <t>CXK-216</t>
  </si>
  <si>
    <t>PARLANTES GENIUS SP-HF180 WOOD 6W</t>
  </si>
  <si>
    <t>PCHF180W</t>
  </si>
  <si>
    <t xml:space="preserve">PARLANTE GENIUS SP-Q160 </t>
  </si>
  <si>
    <t>SP-Q160</t>
  </si>
  <si>
    <t>PARLANTE GENIUS SP-U125 NEGRO</t>
  </si>
  <si>
    <t>SP-U125</t>
  </si>
  <si>
    <t>PARLANTES GENIUS SP-HF280 WOOD 6W</t>
  </si>
  <si>
    <t>PCHF280</t>
  </si>
  <si>
    <t>PARLANTE TRUST JAVV RGB SET 2.0 GXT606</t>
  </si>
  <si>
    <t>JAVVRGB20</t>
  </si>
  <si>
    <t>PARLANTES GENIUS SP-915BT BLUETOOTH</t>
  </si>
  <si>
    <t>SP915BT</t>
  </si>
  <si>
    <t>PATCHPANEL 24P CATEGORIA 5E KROME 110</t>
  </si>
  <si>
    <t>PATCHPANEL</t>
  </si>
  <si>
    <t>PC MINI PERFORMANCE  8GB 240GB   VGA HDMI RYZEN 3 USB3 DDR4 SOPORTE VESA</t>
  </si>
  <si>
    <t>PERFOR3200</t>
  </si>
  <si>
    <t>PC MINI PERFORMANCE  8GB 240GB   VGA HDMI RYZEN 5 USB3 DDR4 SOPORTE VESA</t>
  </si>
  <si>
    <t>PERFOR3500</t>
  </si>
  <si>
    <t>PC MINI PERFORMANCE  16GB 512GB   VGA HDMI RYZEN 5 USB3 DDR4 SOPORTE VESA</t>
  </si>
  <si>
    <t>PERFOR3516</t>
  </si>
  <si>
    <t>PC MINI CX  8GB 240GB   VGA HDMI I3 10110U  USB3 DDR4 SOPORTE VESA</t>
  </si>
  <si>
    <t>CX54282</t>
  </si>
  <si>
    <t>PC MINI CX  16GB 480GB   VGA HDMI RYZEN 3 USB3 DDR4 SOPORTE VESA</t>
  </si>
  <si>
    <t>CX54716</t>
  </si>
  <si>
    <t>PC MINI CX  16GB 512GB   VGA HDMI RYZEN 5 USB3 DDR4 SOPORTE VESA</t>
  </si>
  <si>
    <t>CX55515</t>
  </si>
  <si>
    <t>PC MINI CX  8GB 240GB   VGA HDMI I5 12400P  USB3 DDR4 SOPORTE VESA</t>
  </si>
  <si>
    <t>CX54882</t>
  </si>
  <si>
    <t>PC MINI CX  16GB 512GB   VGA HDMI RYZEN 7 USB3 DDR4 SOPORTE VESA</t>
  </si>
  <si>
    <t>CX54914</t>
  </si>
  <si>
    <t>PC MINI CX  16GB 512GB   VGA HDMI I5 12400P  USB3 DDR4 SOPORTE VESA</t>
  </si>
  <si>
    <t>CX54814</t>
  </si>
  <si>
    <t>PENDRIVE USB HIKSEMI 32Gb  2.0 RNB</t>
  </si>
  <si>
    <t>HIKSM210S</t>
  </si>
  <si>
    <t>PENDRIVE USB  HIKSEMI  64GB USB 2,0</t>
  </si>
  <si>
    <t>M200R64</t>
  </si>
  <si>
    <t xml:space="preserve">PENDRIVE USB 64GB KINGSTON DTX USB  </t>
  </si>
  <si>
    <t>DTXT64GBU</t>
  </si>
  <si>
    <t xml:space="preserve">PENDRIVE USB 128GB KINGSTON DTXM 3,2 USB  </t>
  </si>
  <si>
    <t>DTXT128GBU</t>
  </si>
  <si>
    <t xml:space="preserve">PILA BATERIA CR2032 3v. Para Motherboard </t>
  </si>
  <si>
    <t>PILA2032</t>
  </si>
  <si>
    <t>PILA BATERIA CR2032 3v. Blister X 5 Sony Murata</t>
  </si>
  <si>
    <t>SO02032</t>
  </si>
  <si>
    <t>PINZA PELADORA AUTOAJUSTABLE 4,5 A 25 MMM glc-strip-003</t>
  </si>
  <si>
    <t>PINZA02</t>
  </si>
  <si>
    <t>PLACA DE RED WIFI MW150US MERCUSYS USB  NANO</t>
  </si>
  <si>
    <t>NW150US</t>
  </si>
  <si>
    <t>PLACA DE RED WIFI MU6H MERCUSYS USB  AC650 C ANTENA</t>
  </si>
  <si>
    <t>MU6H</t>
  </si>
  <si>
    <t xml:space="preserve">PLACA DE RED WIFIMW300UH  WiFi MERCUSYS HIGH POWER USB INALAMBRICA </t>
  </si>
  <si>
    <t>MW300UH</t>
  </si>
  <si>
    <t>PLACA DE RED WIFI ARCHER T2E PCIX AC600 1 Ant interna</t>
  </si>
  <si>
    <t>T2E</t>
  </si>
  <si>
    <t xml:space="preserve">PLACA DE RED WIFI TL-WN823N Mini USB 300 Mbps </t>
  </si>
  <si>
    <t>U845973050696</t>
  </si>
  <si>
    <t>PLACA DE RED WIFI TP-LINK T2U NANO AC600 DUAL BAND</t>
  </si>
  <si>
    <t>T2UNANO</t>
  </si>
  <si>
    <t xml:space="preserve">PLACA DE RED WIFI T3U AC1300 DUAL BAND NANO </t>
  </si>
  <si>
    <t>T3U</t>
  </si>
  <si>
    <t>PLACA DE RED WIFI TP-LINK TL-WN725N  USB  NANO</t>
  </si>
  <si>
    <t>U845973050719</t>
  </si>
  <si>
    <t>PLACA DE RED WIFI TP-LINK TX10UB NANO AX900 WIFI6 BLUETOOTH</t>
  </si>
  <si>
    <t>TX10UB</t>
  </si>
  <si>
    <t>PLACA DE RED WIFI TP-LINK TX20U NANO AX1800 WIFI6</t>
  </si>
  <si>
    <t>TX20U</t>
  </si>
  <si>
    <t>PLACA DE RED  USB A  RJ45   UE300 TPLINK GIGA</t>
  </si>
  <si>
    <t>UE300</t>
  </si>
  <si>
    <t xml:space="preserve">PLACA DE RED  USB A  RJ45   UE200 TPLINK </t>
  </si>
  <si>
    <t>UE200</t>
  </si>
  <si>
    <t>PLACA DE RED  USB A  RJ45   UE300C TPLINK GIGARED</t>
  </si>
  <si>
    <t>UE300C</t>
  </si>
  <si>
    <t>PLACA DE RED  USB A  RJ45   UE330  HUB 3 USB TPLINK GIGA</t>
  </si>
  <si>
    <t>UE330</t>
  </si>
  <si>
    <t xml:space="preserve">PLACA DE RED TG-3468  TP-LINK  10/100/1000 PCIE 1X </t>
  </si>
  <si>
    <t>U845973001049</t>
  </si>
  <si>
    <t xml:space="preserve">PLACA DE SONIDO  5,1 USB  AUDIO </t>
  </si>
  <si>
    <t>PCHE207</t>
  </si>
  <si>
    <t>PUNTERO LASER GENIUS MEDIA POINTER 100</t>
  </si>
  <si>
    <t>PC100045</t>
  </si>
  <si>
    <t>RACK MURAL GLC  6U  5000MM 19" PTA CRIS SOPORTE DESARMADO ,,,,</t>
  </si>
  <si>
    <t>GLC-6U500</t>
  </si>
  <si>
    <t>RED Range Extender TL-WA850RE 300 MBPS Tp-Link  extensor</t>
  </si>
  <si>
    <t>WA850TP</t>
  </si>
  <si>
    <t>RED Range Extender MW300RE MERCUSYS 300MBPS 3 ANT EXT</t>
  </si>
  <si>
    <t>MW300RE</t>
  </si>
  <si>
    <t xml:space="preserve">RED Extender H30  Pack de 2 Mesh para ISP Mercusys AC1200 Wifi </t>
  </si>
  <si>
    <t>H30</t>
  </si>
  <si>
    <t>ROUTER INALAMBRICO MW302R Mercusys by TPLink 300Mbps N 2 Ant</t>
  </si>
  <si>
    <t>MW302R</t>
  </si>
  <si>
    <t>ROUTER INALAMBRICO DS-3WR3N HIKVISION WIFI 4  N 2 Ant</t>
  </si>
  <si>
    <t>DS3WR3N</t>
  </si>
  <si>
    <t>ROUTER INALAMBRICO MW305R Mercusys by TPLink 300Mbps N 3 Ant</t>
  </si>
  <si>
    <t>MW305R</t>
  </si>
  <si>
    <t>ROUTER INALAMBRICO MW325R Mercusys by TPLink 300Mbps N 4 Ant</t>
  </si>
  <si>
    <t>MW325R</t>
  </si>
  <si>
    <t>ROUTER INALAMBRICO TL-WR840N N Tp-Link 4P3 2  Antenas Fijas</t>
  </si>
  <si>
    <t>400840NT</t>
  </si>
  <si>
    <t xml:space="preserve">ROUTER INALAMBRICO AGINET EC220 F5  Dual Band 2.4 5.8 Tp-Link    </t>
  </si>
  <si>
    <t>EC220F5</t>
  </si>
  <si>
    <t xml:space="preserve">ROUTER INALAMBRICO ARCHER  C50 AC1200  Dual Band 2.4 5.8 Tp-Link    </t>
  </si>
  <si>
    <t>C50AC750G</t>
  </si>
  <si>
    <t xml:space="preserve">ROUTER INALAMBRICO AGINET EX141 AX1500 Wifi 6 WISP Gigabit D.Band Tp-Link  </t>
  </si>
  <si>
    <t>EX141</t>
  </si>
  <si>
    <t xml:space="preserve">ROUTER INALAMBRICO ARCHERC86  6 antenas ac19000 Dual Band 2.4 5.8 Tp-Link    </t>
  </si>
  <si>
    <t>ARCHERC86</t>
  </si>
  <si>
    <t xml:space="preserve">ROUTER INALAMBRICO AGINET EX511 AX3000 Wifi 6 WISP Aginet Gigabit D.Band Tp-Link </t>
  </si>
  <si>
    <t>EX511</t>
  </si>
  <si>
    <t>ROSETA  2PORT C/TAPA PLASTICA</t>
  </si>
  <si>
    <t>ROSETA01</t>
  </si>
  <si>
    <t>SILLA GAMER  Raptor Throne R1 Tela Gris</t>
  </si>
  <si>
    <t>RAP-SILLA-R1-GRIS</t>
  </si>
  <si>
    <t>SILLA GAMER RAIDMAX DK-925BK NEGRA</t>
  </si>
  <si>
    <t>DK-925BK</t>
  </si>
  <si>
    <t xml:space="preserve">SWITCH 5 BOCAS Tp-Link MiniDesktop TL-SF1005D </t>
  </si>
  <si>
    <t>U845973020064</t>
  </si>
  <si>
    <t xml:space="preserve">SWITCH 8 BOCAS Tp-Link TL-SF1008D   MiniDesktop </t>
  </si>
  <si>
    <t>U845973020071</t>
  </si>
  <si>
    <t>SWITCH Tp-Link MiniDesktop TL-SF1016D 16 puertos lan</t>
  </si>
  <si>
    <t>E6935364020293</t>
  </si>
  <si>
    <t xml:space="preserve">SWITCH TL-SG1005D 5P Tp-Link Desktop 10/100/1000 </t>
  </si>
  <si>
    <t>E6935364020255</t>
  </si>
  <si>
    <t xml:space="preserve">SWTICH D-LINK DGS-1008A 8-PORT 10/100/1000MBPS UNMANAGED </t>
  </si>
  <si>
    <t>DGS-1008A</t>
  </si>
  <si>
    <t>SWITCH 24 BOCAS  RACK TP-LINK TL-SF1024D</t>
  </si>
  <si>
    <t>30960TP</t>
  </si>
  <si>
    <t>SWITCH GIGA 24 PUERTOS  RACK TP-LINK TL-SG1024D</t>
  </si>
  <si>
    <t>TL-SG1024D</t>
  </si>
  <si>
    <t xml:space="preserve">SOPORTE TV/LCD 23 A 42 VESA 200X200 IT-F22 </t>
  </si>
  <si>
    <t>IT-F22</t>
  </si>
  <si>
    <t>SOPORTE MONITOR MOVIL VESA 100X100 IT-TS215V</t>
  </si>
  <si>
    <t>IT-TS215V</t>
  </si>
  <si>
    <t xml:space="preserve">SOPORTE INTELAID P/ MINI PC/BRIX VESA 75X75 Y 100X100 IT-BBS7 </t>
  </si>
  <si>
    <t xml:space="preserve">IT-BBS7 </t>
  </si>
  <si>
    <t>SOPORTE MONITOR MOVIL VESA  IT-TSE44 200x200</t>
  </si>
  <si>
    <t>IT-TSE44</t>
  </si>
  <si>
    <t>SOPORTE INTELAID ECO MAX 20KG INCLIN-GIRAT-EXT VESA 200X200   IT-TSSE42</t>
  </si>
  <si>
    <t>IT-TSSE42</t>
  </si>
  <si>
    <t>SOPORTE LCD FIJO INTELAID 10/32 VESA 100x100 IT-US102V</t>
  </si>
  <si>
    <t>U4805726471518</t>
  </si>
  <si>
    <t>SOPORTE DE ESCRITORIO INTELAID 13/27 VESA 100X100 IT-DBGS</t>
  </si>
  <si>
    <t>IT-DBGS</t>
  </si>
  <si>
    <t xml:space="preserve">SOFT ANTIVIRUS Panda Dome Essential   X1 LIC - 12 MESES </t>
  </si>
  <si>
    <t>PANDADOME</t>
  </si>
  <si>
    <t xml:space="preserve">SOFT ANTIVIRUS Panda Dome Essential   X3 LIC - 12 MESES </t>
  </si>
  <si>
    <t>PANDAINTDO3</t>
  </si>
  <si>
    <t xml:space="preserve">SOPORTE  MONOPOD ROSA SELFIE  BLUETOOTH </t>
  </si>
  <si>
    <t>MONOPOD</t>
  </si>
  <si>
    <t>SOFT WINDOWS HOME 64B COEM 1PK SPANISH FISICO SIN DVD</t>
  </si>
  <si>
    <t>WIN11HOME</t>
  </si>
  <si>
    <t>SOFT WINDOWS PRO 11 X64  OEM 1PK SPANISH FISICO  SIN DVD</t>
  </si>
  <si>
    <t>WIN11PRO</t>
  </si>
  <si>
    <t>TABLETA GENIUS MOUSEPEN I608X</t>
  </si>
  <si>
    <t>TACI608</t>
  </si>
  <si>
    <t>TABLET MAGNUMTECH MG715 7" 2gb 16gb Android 11</t>
  </si>
  <si>
    <t>MG715</t>
  </si>
  <si>
    <t>TECLADO USB ESPAÑOL  108 TECLAS  KB-US9851S</t>
  </si>
  <si>
    <t>K103BKUSB</t>
  </si>
  <si>
    <t>TECLADO GENIUS SMART KB-113  USB</t>
  </si>
  <si>
    <t>GENIUSKB-116</t>
  </si>
  <si>
    <t>TECLADO  LOGITECH  K120 USB  SILENCIOSO</t>
  </si>
  <si>
    <t>K120</t>
  </si>
  <si>
    <t>TECLADO GENIUS  GX SCORPION K7 PLUS GAMING</t>
  </si>
  <si>
    <t>GXK7</t>
  </si>
  <si>
    <t>TECLADO GENIUS SLIMSTAR 230 BLACK USB</t>
  </si>
  <si>
    <t>SLIM230B</t>
  </si>
  <si>
    <t>TECLADO GENIUS SLIMSTAR 820 RETROILUMINADO  SP BLACK USB</t>
  </si>
  <si>
    <t>TE820</t>
  </si>
  <si>
    <t>TECLADO GENIUS Luxemate 110 SP USB</t>
  </si>
  <si>
    <t>LUXEMATE110</t>
  </si>
  <si>
    <t>TECLADO GENIUS SLIMSTAR 7200 SP BLACK WIRELESS</t>
  </si>
  <si>
    <t>TE7200</t>
  </si>
  <si>
    <t>TECLADO GAMEMAX K207-S ILUMINADO 3 COLORES USB</t>
  </si>
  <si>
    <t>K207-S</t>
  </si>
  <si>
    <t>TECLADO + MOUSE GENIUS MULTIMEDIA KM-100Se USB BLACK</t>
  </si>
  <si>
    <t>TCKM100</t>
  </si>
  <si>
    <t>TECLADO+MOUSE GLOBAL ELECTRONIS   WIRELESS KMG20BKCOMBOWLS</t>
  </si>
  <si>
    <t>KMG20BKCOMBO</t>
  </si>
  <si>
    <t xml:space="preserve">TECLADO+MOUSE GENIUS KM-8101  WIRELESS </t>
  </si>
  <si>
    <t>KM8101</t>
  </si>
  <si>
    <t>TECLADO  + MOUSE LOGITECH  WIRELESS   MK220</t>
  </si>
  <si>
    <t>E097855088819</t>
  </si>
  <si>
    <t>TECLADO  + MOUSE LOGITECH  WIRELESS   MK235 920-007901</t>
  </si>
  <si>
    <t>TCMK235</t>
  </si>
  <si>
    <t>TECLADO  + MOUSE LOGITECH  WIRELESS   MK270</t>
  </si>
  <si>
    <t>TCMK270</t>
  </si>
  <si>
    <t>TECLADO MOUSE AURICULARES WEBCAM TRUST HOME OFFICE BUNDLE 4EN1 QOBY</t>
  </si>
  <si>
    <t>TRUSTQOBY</t>
  </si>
  <si>
    <t>TECLADO MOUSE AURICULARES PAD TT  BUNDLE 4EN1 KNUCKER</t>
  </si>
  <si>
    <t>KNUCKER</t>
  </si>
  <si>
    <t>TONER GLOBAL Elect. LEXMARK 12A8305 6k -  E232  E330  E332</t>
  </si>
  <si>
    <t>12A8305</t>
  </si>
  <si>
    <t>TONER POWERTEC LEXMARK  PWT1210  E210 ML1210 10s0063</t>
  </si>
  <si>
    <t>PWT1210</t>
  </si>
  <si>
    <t>TONER NEXT BROTHER HL1110 / DCP1512 TN1060</t>
  </si>
  <si>
    <t>NEXT1060</t>
  </si>
  <si>
    <t>TONER ALTERNATIVO   BROTHER HL1110 / DCP1512 TN1060</t>
  </si>
  <si>
    <t>POWER1060</t>
  </si>
  <si>
    <t>TONER MODULO IMAGEN BROTHER  DR-1060 DR-1050 DR1060</t>
  </si>
  <si>
    <t>GLOIMG1060</t>
  </si>
  <si>
    <t>TONER GLOBAL Elect. MODULO IMAGEN BROTHER DR-450 DR-420  dr420</t>
  </si>
  <si>
    <t>DR-420</t>
  </si>
  <si>
    <t xml:space="preserve">TONER  PWT HL 2130 7055   TN410  TN450  2.6k </t>
  </si>
  <si>
    <t>POWERN410</t>
  </si>
  <si>
    <t xml:space="preserve">TONER  GLOBAL ALTERNATIVO HL 2140 7040    TN360   </t>
  </si>
  <si>
    <t>TN360</t>
  </si>
  <si>
    <t xml:space="preserve">TONER PWT  PB211 ALTERNATIVO  CHIP PANTUM -P2500W   </t>
  </si>
  <si>
    <t>PB211AL</t>
  </si>
  <si>
    <t xml:space="preserve">TONER BROTHER  TN350   </t>
  </si>
  <si>
    <t xml:space="preserve">TN350O
</t>
  </si>
  <si>
    <t>TONER PWT BROTHER TN580 650</t>
  </si>
  <si>
    <t>TN580</t>
  </si>
  <si>
    <t>TONER PWT. HP  CF258A 58A M404, M428  con chip  chip</t>
  </si>
  <si>
    <t>CF258A</t>
  </si>
  <si>
    <t xml:space="preserve">TONER Alternativo. HP W1500A   150A M111 111w 111 M141 141w 141   </t>
  </si>
  <si>
    <t xml:space="preserve">W1500A </t>
  </si>
  <si>
    <t>TONER ALTERNATIVO  MODULO IMAGEN DRUM BROTHER DR660 DR630 dr2320 dr2340</t>
  </si>
  <si>
    <t>DR2370</t>
  </si>
  <si>
    <t>TONER ALTERNATIVO HP CF287A  M506dn / M501dn/ M527dn / M527c.</t>
  </si>
  <si>
    <t>CF287A</t>
  </si>
  <si>
    <t>TONER ALTERNATIVO BROTHER TN660 TN 2370 TN630</t>
  </si>
  <si>
    <t>TN2370</t>
  </si>
  <si>
    <t>TONER ALTERNATIVO MODULO IMAGEN DRUM BROTHER DR820 DR880 dr3460</t>
  </si>
  <si>
    <t>DR820</t>
  </si>
  <si>
    <t>TONER ALTERNATIVO TN880 Tn-3479 Tn3479  L6600 L5600</t>
  </si>
  <si>
    <t>TN880</t>
  </si>
  <si>
    <t>TONER ALTERNATIVO. CF226X  9000 COPIAS</t>
  </si>
  <si>
    <t>CF226X</t>
  </si>
  <si>
    <t>TONER GLOBAL Elect. HP  CF248A CON CHIP M15w M28a M28w</t>
  </si>
  <si>
    <t>CF248ACHIP</t>
  </si>
  <si>
    <t>TONER Alternativo  HP CF280A CE505A Universal 2.7k</t>
  </si>
  <si>
    <t>CE280A</t>
  </si>
  <si>
    <t>TONER alternativot. CF281A  M601</t>
  </si>
  <si>
    <t>CF281A</t>
  </si>
  <si>
    <t>TONER alternativot. W1105A 1000 copias con chip 105A p/ hp 107A 107W 135A</t>
  </si>
  <si>
    <t>W1105A</t>
  </si>
  <si>
    <t>TONER alternativot. W1105A 1000 copias sin chip 105A p/ hp 107A 107W 135A</t>
  </si>
  <si>
    <t>W1105A-NOCHIP</t>
  </si>
  <si>
    <t xml:space="preserve">TONER alternativot. W1105A 5000 copias  chip 105A p/ hp </t>
  </si>
  <si>
    <t>W1105A-NO5K</t>
  </si>
  <si>
    <t>TONER Alternativo. HP W1103A HP 1000 MFP 1200</t>
  </si>
  <si>
    <t>W1103A</t>
  </si>
  <si>
    <t>TONER Alternativo 283A Pro M201 M127 M225 XEROX 006R03250</t>
  </si>
  <si>
    <t>GLO283A</t>
  </si>
  <si>
    <t>TONER ALTERNATIVO HP  Q2612A 1010 1018 1020 1022  compatible Hp</t>
  </si>
  <si>
    <t>IIPE2612GL</t>
  </si>
  <si>
    <t>TONER alternativot. CF217A 1,6K con chip</t>
  </si>
  <si>
    <t>CF217AC</t>
  </si>
  <si>
    <t xml:space="preserve">TONER alternativot. Drum CF219A 12K </t>
  </si>
  <si>
    <t>CF219AS</t>
  </si>
  <si>
    <t>TONER Alternativo  HP  435/436/285/CC388A XEROX 106R02156  106R02157</t>
  </si>
  <si>
    <t>GLOBALUNI</t>
  </si>
  <si>
    <t>TONER PWT HP  435A/436A/285A/CC388A XEROX 106R02156  106R02157</t>
  </si>
  <si>
    <t>PWTUNI</t>
  </si>
  <si>
    <t>TONER alternativot. CF230A 1,6K con chip</t>
  </si>
  <si>
    <t>CF230A_C</t>
  </si>
  <si>
    <t>TONER ALTERNATIVO 92a C4092a Hp Laserjet 1100 1100a 3200</t>
  </si>
  <si>
    <t>C4092A</t>
  </si>
  <si>
    <t>TONER GLOBAL Elect.  Cf279a 279a 79a M12w M26 M12a M12nw</t>
  </si>
  <si>
    <t>GLOB279A</t>
  </si>
  <si>
    <t>TONER powertec  Cf279a 279a 79a M12w M26 M12a M12nw</t>
  </si>
  <si>
    <t>II0P279A</t>
  </si>
  <si>
    <t>TONER Alternativo 278A Hp 1606 / 1606 Dn / 1566</t>
  </si>
  <si>
    <t>II0P278A</t>
  </si>
  <si>
    <t>TONER alternativot. CF390X /364X  600M 601  600M 602  600M 603 M4555</t>
  </si>
  <si>
    <t>CF390A</t>
  </si>
  <si>
    <t>TONER PWT.  MLT-D101 P/ML-2165W  SCX-3405W compatible Samsung</t>
  </si>
  <si>
    <t>MLTD101SCOMP</t>
  </si>
  <si>
    <t>TONER GLOBAL Elect.  MLT-D103L  Samsung</t>
  </si>
  <si>
    <t>MLTD103</t>
  </si>
  <si>
    <t>TONER PWT.  MLT-D104S  SAMSUNG 1665 1865 compatible Samsung</t>
  </si>
  <si>
    <t>MLT-D104S</t>
  </si>
  <si>
    <t>TONER PWT  MLT-D108S SAMSUNG 1640</t>
  </si>
  <si>
    <t>MLT-D108</t>
  </si>
  <si>
    <t>TONER Alternativo  MLT-D111S P/2020W 2070W</t>
  </si>
  <si>
    <t>MLTD111LCOMP</t>
  </si>
  <si>
    <t xml:space="preserve">TONER PWT  MLT-D203U  </t>
  </si>
  <si>
    <t>MLT-D203U</t>
  </si>
  <si>
    <t>TONER PWT  MLT-D205L  Samsung 3710</t>
  </si>
  <si>
    <t>MLT-D205L</t>
  </si>
  <si>
    <t>TONER Alternativo.  MLTD115LCOMP compatible Samsung</t>
  </si>
  <si>
    <t>MLTD115LCOMP</t>
  </si>
  <si>
    <t>TONER Alternativo.  MLTD116LCOMP compatible Samsung</t>
  </si>
  <si>
    <t>MLTD116LCOMP</t>
  </si>
  <si>
    <t xml:space="preserve">TONER PWT  XEROX 106R02773 3020 3025 </t>
  </si>
  <si>
    <t>X106R02773</t>
  </si>
  <si>
    <t>TONER Alternativo XEROX 106R02778  XE3260 3260  3225 3215</t>
  </si>
  <si>
    <t>X106R02778</t>
  </si>
  <si>
    <t xml:space="preserve">TONER GLOBAL Elect. CE410A </t>
  </si>
  <si>
    <t>CE410A</t>
  </si>
  <si>
    <t>TONER GLOBAL Elect. CE411A -CE531A CF381 CIAN</t>
  </si>
  <si>
    <t>CE411A</t>
  </si>
  <si>
    <t>TONER GLOBAL Elect. CE413A -CE533A CF383 MEGENTA</t>
  </si>
  <si>
    <t>CE413A</t>
  </si>
  <si>
    <t>TONER GLOBAL Elect. CE412A -CE532A CF382 YELLOW</t>
  </si>
  <si>
    <t>CE412A</t>
  </si>
  <si>
    <t xml:space="preserve">TONER GLOBAL Elect. CE310A -CE350A  NEGRO </t>
  </si>
  <si>
    <t>CE310A</t>
  </si>
  <si>
    <t xml:space="preserve">TONER GLOBAL Elect. CE311 -CE351  CYAN HP </t>
  </si>
  <si>
    <t>CE311A</t>
  </si>
  <si>
    <t xml:space="preserve">TONER GLOBAL ELECTRONICS CE312 -CE352  YELLOW </t>
  </si>
  <si>
    <t>CE312A</t>
  </si>
  <si>
    <t xml:space="preserve">TONER GLOBAL Elect. CE313 -CE353   MAGENTA </t>
  </si>
  <si>
    <t>CE313A</t>
  </si>
  <si>
    <t>TONER GLOBAL Elect. CE320A -CE540 210 NEGRO HP 1215</t>
  </si>
  <si>
    <t>CE320A</t>
  </si>
  <si>
    <t>TONER GLOBAL Elect. CE321 -CE541 211  CYAN HP 1215</t>
  </si>
  <si>
    <t>CE321A</t>
  </si>
  <si>
    <t xml:space="preserve">TONER GLOBAL ELECTRONICS CE542 -CE212 CE322  YELLOW HP 1215 </t>
  </si>
  <si>
    <t>CE322A</t>
  </si>
  <si>
    <t xml:space="preserve">TONER GLOBAL Elect. CE323 -CE543  213 MAGENTA HP 1215 </t>
  </si>
  <si>
    <t>CE323A</t>
  </si>
  <si>
    <t xml:space="preserve">TONER GLOBAL Elect.  CLT-C404S C404S  Cian compatible Samsung </t>
  </si>
  <si>
    <t>CLT-C404SC404</t>
  </si>
  <si>
    <t xml:space="preserve">TONER GLOBAL Elect.  CLT-M404S M404S  Magenta compatible Samsung </t>
  </si>
  <si>
    <t>CLT-M404SM404</t>
  </si>
  <si>
    <t xml:space="preserve">TONER GLOBAL Elect.  CLT-C406S C406S  Cian compatible Samsung </t>
  </si>
  <si>
    <t>CLT-C406SC406</t>
  </si>
  <si>
    <t xml:space="preserve">TONER GLOBAL Elect.  CLT-M406S M406S  Magenta compatible Samsung </t>
  </si>
  <si>
    <t>CLT-M406SM406</t>
  </si>
  <si>
    <t>UPS HIKVISION DS-UPS600 UPS 600VA/360W,220V Backup</t>
  </si>
  <si>
    <t>HIKV650</t>
  </si>
  <si>
    <t>UPS HIKVISION DS-UPS1000 UPS 1000VA/360W,220V Backup</t>
  </si>
  <si>
    <t>HIKV1000</t>
  </si>
  <si>
    <t>UPS HIKVISION DS-UPS2000 UPS 2000VA/1200W,220V Backup</t>
  </si>
  <si>
    <t>HIKV2000</t>
  </si>
  <si>
    <t>UPS  FORZA FORZA 1000VA 500W NT-1002A</t>
  </si>
  <si>
    <t>FORZA1000VA</t>
  </si>
  <si>
    <t>VENTILADOR CPU COOLER INTEL  ALUMINUM FAN S1200</t>
  </si>
  <si>
    <t>VECL1200</t>
  </si>
  <si>
    <t>VENTILADOR CPU COOLER AM4 PERFORMANCE ALUMINUM FAN</t>
  </si>
  <si>
    <t>VE00041</t>
  </si>
  <si>
    <t>VENTILADOR COOLER  12 CM  ARGB LED FALCOM AS-01</t>
  </si>
  <si>
    <t>FAN12RGB</t>
  </si>
  <si>
    <t xml:space="preserve">VENTILADOR COOLER  12 CM  RGB LED  GAMEMAX P/ GABINETE 120MM </t>
  </si>
  <si>
    <t>FAN12RGBBB</t>
  </si>
  <si>
    <t>VGA 1024MB PCI-E GF210 DDR3</t>
  </si>
  <si>
    <t>VCZG210B</t>
  </si>
  <si>
    <t>VGA SAPPHIRE RADEON RX 6400 PULSE LR GDDR6 4G</t>
  </si>
  <si>
    <t>RX6400SHA</t>
  </si>
  <si>
    <t>VGA Sapphire Radeon PULSE RX 7600 OC 8GB</t>
  </si>
  <si>
    <t>RX6600SHA</t>
  </si>
  <si>
    <t>VGA MSI GeForce RTX 5060 INSPIRE 2X OC 8G</t>
  </si>
  <si>
    <t>VENTUS5060</t>
  </si>
  <si>
    <t>VGA  ZOTAC RTX 5060 AMP 8GB GDDR7</t>
  </si>
  <si>
    <t>ZOTAC5060</t>
  </si>
  <si>
    <t>WEBCAM GENIUS FACECAM 1000X microfono</t>
  </si>
  <si>
    <t>WCE1000X</t>
  </si>
  <si>
    <t xml:space="preserve">WEBCAM KELYX 1080 con Microfono   Full  Hd </t>
  </si>
  <si>
    <t>WEBKELYX</t>
  </si>
  <si>
    <t>TOTAL</t>
  </si>
  <si>
    <t>Auriculares</t>
  </si>
  <si>
    <t>Estabilizadores</t>
  </si>
  <si>
    <t>Gabinetes</t>
  </si>
  <si>
    <t>Mouse</t>
  </si>
  <si>
    <t>Teclados</t>
  </si>
  <si>
    <t>Categoria</t>
  </si>
  <si>
    <t>Subcategoria</t>
  </si>
  <si>
    <t>Componentes</t>
  </si>
  <si>
    <t>Almacenamiento</t>
  </si>
  <si>
    <t>Fuentes de Alimentación</t>
  </si>
  <si>
    <t>Memorias RAM</t>
  </si>
  <si>
    <t>Motherboards - Intel</t>
  </si>
  <si>
    <t>Motherboards - AMD</t>
  </si>
  <si>
    <t>Placas de Video - Nvidia</t>
  </si>
  <si>
    <t>Placas de Video - AMD</t>
  </si>
  <si>
    <t>Procesadores - Intel</t>
  </si>
  <si>
    <t>Procesadores - AMD</t>
  </si>
  <si>
    <t>Refrigeración</t>
  </si>
  <si>
    <t>MousePad</t>
  </si>
  <si>
    <t>Parlantes</t>
  </si>
  <si>
    <t>Conectividad / Redes</t>
  </si>
  <si>
    <t>Placas WiFi / Adaptadores</t>
  </si>
  <si>
    <t>Routers</t>
  </si>
  <si>
    <t>Adaptadores Bluetooth</t>
  </si>
  <si>
    <t>Cables y adaptadores varios</t>
  </si>
  <si>
    <t>PC Completas</t>
  </si>
  <si>
    <t>PCs pre-armadas</t>
  </si>
  <si>
    <t>Notebooks</t>
  </si>
  <si>
    <t>Notebooks / Laptops</t>
  </si>
  <si>
    <t>Accesorios / Otros</t>
  </si>
  <si>
    <t>UPS / Protectores</t>
  </si>
  <si>
    <t>Cables / Accesorios varios</t>
  </si>
  <si>
    <t>Periféricos</t>
  </si>
  <si>
    <t>Otros periféricos</t>
  </si>
  <si>
    <t>Pasta térmica</t>
  </si>
  <si>
    <t>Cámaras Web</t>
  </si>
  <si>
    <t>Micrófonos</t>
  </si>
  <si>
    <t>PAD MOUSE GAMER RAPTOR Ultra Glide Antideslizante Impermeable S 260x210x3mm</t>
  </si>
  <si>
    <t>auriculares</t>
  </si>
  <si>
    <t>Impresoras/Insumos</t>
  </si>
  <si>
    <t>Software</t>
  </si>
  <si>
    <t>Tablets/Celulares</t>
  </si>
  <si>
    <t>Monitores/Proyectores/Soportes</t>
  </si>
  <si>
    <t>Sillas Gamers</t>
  </si>
  <si>
    <t>Pilas/Baterias</t>
  </si>
  <si>
    <t>URL</t>
  </si>
  <si>
    <t>http://190.183.223.6/gold/images/varios/DVIHDMI.jpg</t>
  </si>
  <si>
    <t>http://190.183.223.6/gold/images/varios/MA530.jpg</t>
  </si>
  <si>
    <t>http://190.183.223.6/gold/images/varios/UB500PLUS.jpg</t>
  </si>
  <si>
    <t>http://190.183.223.6/gold/images/varios/HS-300N.jpg</t>
  </si>
  <si>
    <t>http://190.183.223.6/gold/images/varios/HS04US.jpg</t>
  </si>
  <si>
    <t>http://190.183.223.6/gold/images/varios/HS-m200C.jpg</t>
  </si>
  <si>
    <t>http://190.183.223.6/gold/images/varios/HS-100U.jpg</t>
  </si>
  <si>
    <t>http://190.183.223.6/gold/images/varios/HS-GX580U.jpg</t>
  </si>
  <si>
    <t>http://190.183.223.6/gold/images/varios/HS-810BT.jpg</t>
  </si>
  <si>
    <t>http://190.183.223.6/gold/images/HS-m300.jpg</t>
  </si>
  <si>
    <t>http://190.183.223.6/gold/images/varios/X-2670BL.jpg</t>
  </si>
  <si>
    <t>http://190.183.223.6/gold/images/varios/X-2670RJ.jpg</t>
  </si>
  <si>
    <t>http://190.183.223.6/gold/images/varios/X-2670RS.jpg</t>
  </si>
  <si>
    <t>http://190.183.223.6/gold/images/varios/NG-55VL.jpg</t>
  </si>
  <si>
    <t>http://190.183.223.6/gold/images/varios/probatery7a.jpg</t>
  </si>
  <si>
    <t>http://190.183.223.6/gold/images/cable/bobinakelyx.jpg</t>
  </si>
  <si>
    <t>http://190.183.223.6/gold/images/cable/cableredSFX.jpg</t>
  </si>
  <si>
    <t>http://190.183.223.6/gold/images/cable/cablered.jpg</t>
  </si>
  <si>
    <t>http://190.183.223.6/gold/images/cable/TL-ANT24EC5S.jpg</t>
  </si>
  <si>
    <t>http://190.183.223.6/gold/images/cable/cablecellPlano.jpg</t>
  </si>
  <si>
    <t>http://190.183.223.6/gold/images/cable/cabletypec.jpg</t>
  </si>
  <si>
    <t>http://190.183.223.6/gold/images/red/patch05.jpg</t>
  </si>
  <si>
    <t>http://190.183.223.6/gold/images/cable/cable220.jpg</t>
  </si>
  <si>
    <t>http://190.183.223.6/gold/images/cable/cablecellADATA.jpg</t>
  </si>
  <si>
    <t>http://190.183.223.6/gold/images/varios/NUMERICOpad110.jpg</t>
  </si>
  <si>
    <t>http://190.183.223.6/gold/images/varios/UA520C.jpg</t>
  </si>
  <si>
    <t>http://190.183.223.6/gold/images/varios/BASEKUZO.jpg</t>
  </si>
  <si>
    <t>http://190.183.223.6/gold/images/varios/BASESTAND.jpg</t>
  </si>
  <si>
    <t>http://190.183.223.6/gold/images/cable/cablesatat.jpg</t>
  </si>
  <si>
    <t>http://190.183.223.6/gold/images/cable/cablesataP.jpg</t>
  </si>
  <si>
    <t>http://190.183.223.6/gold/images/cable/cableshdmi.jpg</t>
  </si>
  <si>
    <t>http://190.183.223.6/gold/images/cable/cableshdmi3.jpg</t>
  </si>
  <si>
    <t>http://190.183.223.6/gold/images/cable/cablesDISPLAYPORT.jpg</t>
  </si>
  <si>
    <t>http://190.183.223.6/gold/images/cable/cable220trebol.jpg</t>
  </si>
  <si>
    <t>http://190.183.223.6/gold/images/cable/cableusbAA.jpg</t>
  </si>
  <si>
    <t>http://190.183.223.6/gold/images/cable/cablesVgaFMM.jpg</t>
  </si>
  <si>
    <t>http://190.183.223.6/gold/images/cable/cableusb.jpg</t>
  </si>
  <si>
    <t>http://190.183.223.6/gold/images/TAPOC100.jpg</t>
  </si>
  <si>
    <t>http://190.183.223.6/gold/images/camara/TAPOC200.jpg</t>
  </si>
  <si>
    <t>http://190.183.223.6/gold/images/camara/TAPOC510w.jpg</t>
  </si>
  <si>
    <t>http://190.183.223.6/gold/images/varios/CARGADORNOTEBOOKASUS19V237A4x135.JPG</t>
  </si>
  <si>
    <t>http://190.183.223.6/gold/images/varios/CARGADORNOTEBOOKTOSHIBA-19V3-42A.JPG</t>
  </si>
  <si>
    <t>http://190.183.223.6/gold/images/varios/CARGADORNOTEBOOKHPpinfino-azul.JPG</t>
  </si>
  <si>
    <t>http://190.183.223.6/gold/images/varios/CARGADORNOTEBOOKACER-19V3-42A3x1.JPG</t>
  </si>
  <si>
    <t>http://190.183.223.6/gold/images/varios/CARGADORNOTEBOOKACER-19V3-42A.JPG</t>
  </si>
  <si>
    <t>http://190.183.223.6/gold/images/varios/CARGADORNOTEBOOKACERmini-19V1-58A.JPG</t>
  </si>
  <si>
    <t>http://190.183.223.6/gold/images/varios/CARGADORNOTEBOOKDELL19v334a45x3.jpg</t>
  </si>
  <si>
    <t>http://190.183.223.6/gold/images/varios/CARGADORNOTEBOOKDELL195v334a74x5.jpg</t>
  </si>
  <si>
    <t>http://190.183.223.6/gold/images/varios/CARGADORNOTEBOOKLENOVOtypec.jpg</t>
  </si>
  <si>
    <t>http://190.183.223.6/gold/images/varios/CARGADORNOTEBOOKLENOVO-20V3-105X4.JPG</t>
  </si>
  <si>
    <t>http://190.183.223.6/gold/images/varios/CARGADORNOTEBOOKLENOVO-20V3-25A55.JPG</t>
  </si>
  <si>
    <t>http://190.183.223.6/gold/images/varios/CARGADORNOTEBOOKLENOVO-20V3-4A17.JPG</t>
  </si>
  <si>
    <t>http://190.183.223.6/gold/images/varios/CARGADORSAMS14V.JPG</t>
  </si>
  <si>
    <t>http://190.183.223.6/gold/images/varios/CARGADORLG12V.JPG</t>
  </si>
  <si>
    <t>http://190.183.223.6/gold/images/SATA.jpg</t>
  </si>
  <si>
    <t>http://190.183.223.6/gold/images/disco/CASEHISEMIM26.jpg</t>
  </si>
  <si>
    <t>http://190.183.223.6/gold/images/disco/CASEHISEMINETAC.jpg</t>
  </si>
  <si>
    <t>http://190.183.223.6/gold/images/disco/CASEHISEMI.jpg</t>
  </si>
  <si>
    <t>http://190.183.223.6/gold/images/T544120.jpg</t>
  </si>
  <si>
    <t>http://190.183.223.6/gold/images/T544320.jpg</t>
  </si>
  <si>
    <t>http://190.183.223.6/gold/images/T544420.jpg</t>
  </si>
  <si>
    <t>http://190.183.223.6/gold/images/T544220.jpg</t>
  </si>
  <si>
    <t>http://190.183.223.6/gold/images/T504420.jpg</t>
  </si>
  <si>
    <t>http://190.183.223.6/gold/images/T504220.jpg</t>
  </si>
  <si>
    <t>http://190.183.223.6/gold/images/T504320.jpg</t>
  </si>
  <si>
    <t>http://190.183.223.6/gold/images/T504120.jpg</t>
  </si>
  <si>
    <t>http://190.183.223.6/gold/images/hp/T664220-AL.jpg</t>
  </si>
  <si>
    <t>http://190.183.223.6/gold/images/hp/T664320-AL.jpg</t>
  </si>
  <si>
    <t>http://190.183.223.6/gold/images/hp/T664420-AL.jpg</t>
  </si>
  <si>
    <t>http://190.183.223.6/gold/images/hp/T664120-AL.jpg</t>
  </si>
  <si>
    <t>http://190.183.223.6/gold/images/hp/T673220-AL.jpg</t>
  </si>
  <si>
    <t>http://190.183.223.6/gold/images/hp/T673520-AL.jpg</t>
  </si>
  <si>
    <t>http://190.183.223.6/gold/images/hp/T673320-AL.jpg</t>
  </si>
  <si>
    <t>http://190.183.223.6/gold/images/hp/epson734.jpg</t>
  </si>
  <si>
    <t>http://190.183.223.6/gold/images/hp/epson133A.jpg</t>
  </si>
  <si>
    <t>http://190.183.223.6/gold/images/hp/epson732.jpg</t>
  </si>
  <si>
    <t>http://190.183.223.6/gold/images/EPSONBOTELLAPWT.JPG</t>
  </si>
  <si>
    <t>http://190.183.223.6/gold/images/HPBOTELLAGLOBAL.JPG</t>
  </si>
  <si>
    <t>http://190.183.223.6/gold/images/hp/BT5001BKBOTELLA.jpg</t>
  </si>
  <si>
    <t>http://190.183.223.6/gold/images/hp/BT5001C.jpg</t>
  </si>
  <si>
    <t>http://190.183.223.6/gold/images/hp/BT5001M.jpg</t>
  </si>
  <si>
    <t>http://190.183.223.6/gold/images/hp/BT5001Y.jpg</t>
  </si>
  <si>
    <t>http://190.183.223.6/gold/images/hp/generalepsonPowertec.jpg</t>
  </si>
  <si>
    <t>http://190.183.223.6/gold/images/hp/hpC564.jpg</t>
  </si>
  <si>
    <t>http://190.183.223.6/gold/images/hp/hp670c.jpg</t>
  </si>
  <si>
    <t>http://190.183.223.6/gold/images/globaltinta.jpg</t>
  </si>
  <si>
    <t>http://190.183.223.6/gold/images/varios/H-302.jpg</t>
  </si>
  <si>
    <t>http://190.183.223.6/gold/images/cable/rj45.jpg</t>
  </si>
  <si>
    <t>http://190.183.223.6/gold/images/cable/rj45GLC.jpg</t>
  </si>
  <si>
    <t>http://190.183.223.6/gold/images/cable/rj45GLCCAT6.jpg</t>
  </si>
  <si>
    <t>http://190.183.223.6/gold/images/amd/AM4-3000g.jpg</t>
  </si>
  <si>
    <t>http://190.183.223.6/gold/images/amd/RYZEN33200gO.jpg</t>
  </si>
  <si>
    <t>http://190.183.223.6/gold/images/amd/RYZEN5300GO.jpg</t>
  </si>
  <si>
    <t>http://190.183.223.6/gold/images/amd/RYZEN5600G.jpg</t>
  </si>
  <si>
    <t>http://190.183.223.6/gold/images/amd/RYZEN3600.jpg</t>
  </si>
  <si>
    <t>http://190.183.223.6/gold/images/amd/RYZEN5500.jpg</t>
  </si>
  <si>
    <t>http://190.183.223.6/gold/images/amd/RYZEN5700.jpg</t>
  </si>
  <si>
    <t>http://190.183.223.6/gold/images/amd/RYZEN5700G.jpg</t>
  </si>
  <si>
    <t>http://190.183.223.6/gold/images/amd/RYZEN8400F.jpg</t>
  </si>
  <si>
    <t>http://190.183.223.6/gold/images/amd/RYZEN8500g.jpg</t>
  </si>
  <si>
    <t>http://190.183.223.6/gold/images/amd/RYZEN8600g.jpg</t>
  </si>
  <si>
    <t>http://190.183.223.6/gold/images/amd/RYZEN7600X.jpg</t>
  </si>
  <si>
    <t>http://190.183.223.6/gold/images/amd/RYZEN7700.jpg</t>
  </si>
  <si>
    <t>http://190.183.223.6/gold/images/amd/RYZEN7700x.jpg</t>
  </si>
  <si>
    <t>http://190.183.223.6/gold/images/amd/RYZEN8700F.jpg</t>
  </si>
  <si>
    <t>http://190.183.223.6/gold/images/amd/RYZEN8700G.jpg</t>
  </si>
  <si>
    <t>http://190.183.223.6/gold/images/amd/RYZEN7900X.jpg</t>
  </si>
  <si>
    <t>http://190.183.223.6/gold/images/intel/BX80701G6405.jpg</t>
  </si>
  <si>
    <t>http://190.183.223.6/gold/images/intel/BX80715G7400.jpg</t>
  </si>
  <si>
    <t>http://190.183.223.6/gold/images/intel/BX8071512100FSRL63.jpg</t>
  </si>
  <si>
    <t>http://190.183.223.6/gold/images/intel/BX8070110105.jpg</t>
  </si>
  <si>
    <t>http://190.183.223.6/gold/images/intel/BX8071512100.jpg</t>
  </si>
  <si>
    <t>http://190.183.223.6/gold/images/intel/BX8071514100.jpg</t>
  </si>
  <si>
    <t>http://190.183.223.6/gold/images/intel/BX8070110400F.jpg</t>
  </si>
  <si>
    <t>http://190.183.223.6/gold/images/intel/BX8070110400.jpg</t>
  </si>
  <si>
    <t>http://190.183.223.6/gold/images/intel/BX8070812400f.jpg</t>
  </si>
  <si>
    <t>http://190.183.223.6/gold/images/intel/BX8070812400.jpg</t>
  </si>
  <si>
    <t>http://190.183.223.6/gold/images/intel/BX8071512700.jpg</t>
  </si>
  <si>
    <t>http://190.183.223.6/gold/images/intel/BX8071512700K.jpg</t>
  </si>
  <si>
    <t>http://190.183.223.6/gold/images/intel/BX8071514400F.jpg</t>
  </si>
  <si>
    <t>http://190.183.223.6/gold/images/intel/BX8071514400.jpg</t>
  </si>
  <si>
    <t>http://190.183.223.6/gold/images/intel/BX8071514700.jpg</t>
  </si>
  <si>
    <t>http://190.183.223.6/gold/images/intel/BX8071512900KF.jpg</t>
  </si>
  <si>
    <t>http://190.183.223.6/gold/images/intel/BX8071514900F.jpg</t>
  </si>
  <si>
    <t>http://190.183.223.6/gold/images/disco/discCARRY256G.jpg</t>
  </si>
  <si>
    <t>http://190.183.223.6/gold/images/disco/discCARRY1TB.jpg</t>
  </si>
  <si>
    <t>http://190.183.223.6/gold/images/disco/C100120H.jpg</t>
  </si>
  <si>
    <t>http://190.183.223.6/gold/images/disco/HISEMI128nvme.jpg</t>
  </si>
  <si>
    <t>http://190.183.223.6/gold/images/disco/N535S240.jpg</t>
  </si>
  <si>
    <t>http://190.183.223.6/gold/images/disco/PATRIOT240.jpg</t>
  </si>
  <si>
    <t>http://190.183.223.6/gold/images/disco/ssda400.jpg</t>
  </si>
  <si>
    <t>http://190.183.223.6/gold/images/disco/HISEMI256nvme.jpg</t>
  </si>
  <si>
    <t>http://190.183.223.6/gold/images/disco/GREENSN350NVMEG3.jpg</t>
  </si>
  <si>
    <t>http://190.183.223.6/gold/images/disco/ssdV300480.jpg</t>
  </si>
  <si>
    <t>http://190.183.223.6/gold/images/disco/SNVS-500G.jpg</t>
  </si>
  <si>
    <t>http://190.183.223.6/gold/images/disco/N5351TB.jpg</t>
  </si>
  <si>
    <t>http://190.183.223.6/gold/images/disco/N535S960.jpg</t>
  </si>
  <si>
    <t>http://190.183.223.6/gold/images/disco/hd1000SEANAS.jpg</t>
  </si>
  <si>
    <t>http://190.183.223.6/gold/images/disco/hd2000WESTERNDIGITAL.jpg</t>
  </si>
  <si>
    <t>http://190.183.223.6/gold/images/disco/hd2000SEA2TERA.jpg</t>
  </si>
  <si>
    <t>http://190.183.223.6/gold/images/disco/WD40EZRZ.jpg</t>
  </si>
  <si>
    <t>http://190.183.223.6/gold/images/disco/WD40EFPX.jpg</t>
  </si>
  <si>
    <t>http://190.183.223.6/gold/images/disco/hd4000WESTERNDIGITALPURPLE.jpg</t>
  </si>
  <si>
    <t>http://190.183.223.6/gold/images/disco/hd8000WESTERNDIGITALPURPLE.jpg</t>
  </si>
  <si>
    <t>http://190.183.223.6/gold/images/disco/hd8000SEA8TERA.jpg</t>
  </si>
  <si>
    <t>http://190.183.223.6/gold/images/disco/WD80EFPX.jpg</t>
  </si>
  <si>
    <t>http://190.183.223.6/gold/images/disco/WD221PURP.jpg</t>
  </si>
  <si>
    <t>http://190.183.223.6/gold/images/red/LP140WH4.jpg</t>
  </si>
  <si>
    <t>http://190.183.223.6/gold/images/varios/FORZA1202N.jpg</t>
  </si>
  <si>
    <t>http://190.183.223.6/gold/images/tecla/FORZA902A900A.jpg</t>
  </si>
  <si>
    <t>http://190.183.223.6/gold/images/tecla/TRVMICROVOLT.jpg</t>
  </si>
  <si>
    <t>http://190.183.223.6/gold/images/gab/fuente5v.jpg</t>
  </si>
  <si>
    <t>http://190.183.223.6/gold/images/gab/fuenteKELYX.jpg</t>
  </si>
  <si>
    <t>http://190.183.223.6/gold/images/gab/fuente600MAGNU.jpg</t>
  </si>
  <si>
    <t>http://190.183.223.6/gold/images/gab/RAIDMAX550.jpg</t>
  </si>
  <si>
    <t>http://190.183.223.6/gold/images/gab/ARXGP.jpg</t>
  </si>
  <si>
    <t>http://190.183.223.6/gold/images/gab/AUREOX600.jpg</t>
  </si>
  <si>
    <t>http://190.183.223.6/gold/images/gab/AUREOX650B.jpg</t>
  </si>
  <si>
    <t>http://190.183.223.6/gold/images/gab/GP-P650SS%20ICE.jpg</t>
  </si>
  <si>
    <t>http://190.183.223.6/gold/images/gab/GP-P750BS.jpg</t>
  </si>
  <si>
    <t>http://190.183.223.6/gold/images/gab/MT-K735KIT.jpg</t>
  </si>
  <si>
    <t>http://190.183.223.6/gold/images/gab/magnutech436B.jpg</t>
  </si>
  <si>
    <t>http://190.183.223.6/gold/images/gab/magnutech435r.jpg</t>
  </si>
  <si>
    <t>http://190.183.223.6/gold/images/gab/VIEWMAX180.jpg</t>
  </si>
  <si>
    <t>http://190.183.223.6/gold/images/gab/VIEWMAX270.jpg</t>
  </si>
  <si>
    <t>http://190.183.223.6/gold/images/gab/GABSLIMPERFORMANCE.jpg</t>
  </si>
  <si>
    <t>http://190.183.223.6/gold/images/gab/ARX300G.jpg</t>
  </si>
  <si>
    <t>http://190.183.223.6/gold/images/gab/RAPTORVORTEXRGB.jpg</t>
  </si>
  <si>
    <t>http://190.183.223.6/gold/images/gab/RAPTORblazeRGB.jpg</t>
  </si>
  <si>
    <t>http://190.183.223.6/gold/images/varios/JGRASA.jpg</t>
  </si>
  <si>
    <t>http://190.183.223.6/gold/images/varios/JGRASAa90.jpg</t>
  </si>
  <si>
    <t>http://190.183.223.6/gold/images/varios/graba.jpg</t>
  </si>
  <si>
    <t>http://190.183.223.6/gold/images/varios/grabaLITEON.jpg</t>
  </si>
  <si>
    <t>http://190.183.223.6/gold/images/varios/HALYXHUB.jpg</t>
  </si>
  <si>
    <t>http://190.183.223.6/gold/images/varios/GENIUSUH400.jpg</t>
  </si>
  <si>
    <t>http://190.183.223.6/gold/images/impre/IMPREOCOMWIFI.jpg</t>
  </si>
  <si>
    <t>http://190.183.223.6/gold/images/impre/M111A.jpg</t>
  </si>
  <si>
    <t>http://190.183.223.6/gold/images/impre/HL1200.jpg</t>
  </si>
  <si>
    <t>http://190.183.223.6/gold/images/impre/HL1212W.jpg</t>
  </si>
  <si>
    <t>http://190.183.223.6/gold/images/impre/HLL2320DW.jpg</t>
  </si>
  <si>
    <t>http://190.183.223.6/gold/images/impre/HLL2360DW.jpg</t>
  </si>
  <si>
    <t>http://190.183.223.6/gold/images/red/jack01.jpg</t>
  </si>
  <si>
    <t>http://190.183.223.6/gold/images/red/jack06.jpg</t>
  </si>
  <si>
    <t>http://190.183.223.6/gold/images/varios/OCBS-LA11.jpg</t>
  </si>
  <si>
    <t>http://190.183.223.6/gold/images/varios/maletinTRUST.jpg</t>
  </si>
  <si>
    <t>http://190.183.223.6/gold/images/mb/E6010N.jpg</t>
  </si>
  <si>
    <t>http://190.183.223.6/gold/images/mb/A520M-APRO.jpg</t>
  </si>
  <si>
    <t>http://190.183.223.6/gold/images/mb/A520M-A.jpg</t>
  </si>
  <si>
    <t>http://190.183.223.6/gold/images/mb/A520M-k.jpg</t>
  </si>
  <si>
    <t>http://190.183.223.6/gold/images/mb/PROA620M-E.jpg</t>
  </si>
  <si>
    <t>http://190.183.223.6/gold/images/mb/PRIMEA620M-K.jpg</t>
  </si>
  <si>
    <t>http://190.183.223.6/gold/images/mb/A620MH.jpg</t>
  </si>
  <si>
    <t>http://190.183.223.6/gold/images/mb/msiH510M-B.jpg</t>
  </si>
  <si>
    <t>http://190.183.223.6/gold/images/mb/h510MR.jpg</t>
  </si>
  <si>
    <t>http://190.183.223.6/gold/images/mb/h510MK.jpg</t>
  </si>
  <si>
    <t>http://190.183.223.6/gold/images/mb/H610MK.jpg</t>
  </si>
  <si>
    <t>http://190.183.223.6/gold/images/memo/MARK8GBDDR3.jpg</t>
  </si>
  <si>
    <t>http://190.183.223.6/gold/images/memo/HIKSEMI8ddr42666.jpg</t>
  </si>
  <si>
    <t>http://190.183.223.6/gold/images/memo/HIKSEMI16ddr4D.jpg</t>
  </si>
  <si>
    <t>http://190.183.223.6/gold/images/memo/HIKSEMI16ddr4D3600.jpg</t>
  </si>
  <si>
    <t>http://190.183.223.6/gold/images/memo/CMK16GX5M1B5600.jpg</t>
  </si>
  <si>
    <t>http://190.183.223.6/gold/images/memo/HIKSEMD16ddr5D.jpg</t>
  </si>
  <si>
    <t>http://190.183.223.6/gold/images/memo/kingston32gb5600.jpg</t>
  </si>
  <si>
    <t>http://190.183.223.6/gold/images/memo/kingston16gb5600BEATS.jpg</t>
  </si>
  <si>
    <t>http://190.183.223.6/gold/images/memo/sdhiksemi32.jpg</t>
  </si>
  <si>
    <t>http://190.183.223.6/gold/images/memo/sd32MICRO10.jpg</t>
  </si>
  <si>
    <t>http://190.183.223.6/gold/images/memo/hiSEMI64.jpg</t>
  </si>
  <si>
    <t>http://190.183.223.6/gold/images/memo/sd6410KINGSTON.jpg</t>
  </si>
  <si>
    <t>http://190.183.223.6/gold/images/memo/sd64king.jpg</t>
  </si>
  <si>
    <t>http://190.183.223.6/gold/images/memo/sD256KINGSTON.jpg</t>
  </si>
  <si>
    <t>http://190.183.223.6/gold/images/memo/sD128KINGSTON4k.jpg</t>
  </si>
  <si>
    <t>http://190.183.223.6/gold/images/memo/SODIMHIKVISION4GB1600.jpg</t>
  </si>
  <si>
    <t>http://190.183.223.6/gold/images/memo/sodimmHIKVISION8GB1600.jpg</t>
  </si>
  <si>
    <t>http://190.183.223.6/gold/images/memo/sodimmCRUCIAL8gb1600.jpg</t>
  </si>
  <si>
    <t>http://190.183.223.6/gold/images/memo/sodimmLEXAR8gb3200.jpg</t>
  </si>
  <si>
    <t>http://190.183.223.6/gold/images/memo/HIKVIISONSODIM016ddr4.jpg</t>
  </si>
  <si>
    <t>http://190.183.223.6/gold/images/memo/sodimm.jpg</t>
  </si>
  <si>
    <t>http://190.183.223.6/gold/images/varios/MICO.jpg</t>
  </si>
  <si>
    <t>http://190.183.223.6/gold/images/lcd/DS-D5024FN.jpg</t>
  </si>
  <si>
    <t>http://190.183.223.6/gold/images/lcd/VG249QL3A.jpg</t>
  </si>
  <si>
    <t>http://190.183.223.6/gold/images/lcd/VA27EHF-J.jpg</t>
  </si>
  <si>
    <t>http://190.183.223.6/gold/images/tecla/mouse.jpg</t>
  </si>
  <si>
    <t>http://190.183.223.6/gold/images/tecla/DX-120.jpg</t>
  </si>
  <si>
    <t>http://190.183.223.6/gold/images/tecla/mouselogitechm90.jpg</t>
  </si>
  <si>
    <t>http://190.183.223.6/gold/images/tecla/MICROTRAVELERS.jpg</t>
  </si>
  <si>
    <t>http://190.183.223.6/gold/images/tecla/MICROTRAVELER.jpg</t>
  </si>
  <si>
    <t>http://190.183.223.6/gold/images/tecla/NX7000.jpg</t>
  </si>
  <si>
    <t>http://190.183.223.6/gold/images/tecla/NX7009.jpg</t>
  </si>
  <si>
    <t>http://190.183.223.6/gold/images/tecla/NX7123.jpg</t>
  </si>
  <si>
    <t>http://190.183.223.6/gold/images/tecla/M170.jpg</t>
  </si>
  <si>
    <t>http://190.183.223.6/gold/images/</t>
  </si>
  <si>
    <t>http://190.183.223.6/gold/images/tecla/TRUSTGTX108.jpg</t>
  </si>
  <si>
    <t>http://190.183.223.6/gold/images/tecla/TRUSTRIXA.jpg</t>
  </si>
  <si>
    <t>http://190.183.223.6/gold/images/tecla/MASTERMOUSES.jpg</t>
  </si>
  <si>
    <t>http://190.183.223.6/gold/images/impre/EPSONL3210.jpg</t>
  </si>
  <si>
    <t>http://190.183.223.6/gold/images/impre/EPSONL3250.jpg</t>
  </si>
  <si>
    <t>http://190.183.223.6/gold/images/impre/EPSONL3560.jpg</t>
  </si>
  <si>
    <t>http://190.183.223.6/gold/images/impre/DCP-1617NW.jpg</t>
  </si>
  <si>
    <t>http://190.183.223.6/gold/images/impre/DCP-L2540dw.jpg</t>
  </si>
  <si>
    <t>http://190.183.223.6/gold/images/impre/DCPT220.jpg</t>
  </si>
  <si>
    <t>http://190.183.223.6/gold/images/impre/DCP-T420W.jpg</t>
  </si>
  <si>
    <t>http://190.183.223.6/gold/images/notebook/LR515AMN8.jpg</t>
  </si>
  <si>
    <t>http://190.183.223.6/gold/images/notebook/15ABR8.jpg</t>
  </si>
  <si>
    <t>http://190.183.223.6/gold/images/notebook/V15R37320U.jpg</t>
  </si>
  <si>
    <t>http://190.183.223.6/gold/images/notebook/m13060.jpg</t>
  </si>
  <si>
    <t>http://190.183.223.6/gold/images/notebook/X515EA.jpg</t>
  </si>
  <si>
    <t>http://190.183.223.6/gold/images/notebook/90NB0ZR2-M02NY0.jpg</t>
  </si>
  <si>
    <t>http://190.183.223.6/gold/images/notebook/G68P1KF6I2X0XX5FXC20.jpg</t>
  </si>
  <si>
    <t>http://190.183.223.6/gold/images/notebook/G52J3KFGIFDC140.jpg</t>
  </si>
  <si>
    <t>http://190.183.223.6/gold/images/notebook/G47R3RFEI9XGXX4FXC20.jpg</t>
  </si>
  <si>
    <t>http://190.183.223.6/gold/images/notebook/G66R6RFEIAXGXX5FXC20.jpg</t>
  </si>
  <si>
    <t>http://190.183.223.6/gold/images/notebook/G68P2JFEI2X0XX5FXC20.jpg</t>
  </si>
  <si>
    <t>http://190.183.223.6/gold/images/notebook/G52J7IFGIFDC150.jpg</t>
  </si>
  <si>
    <t>http://190.183.223.6/gold/images/notebook/GM15Z13.jpg</t>
  </si>
  <si>
    <t>http://190.183.223.6/gold/images/notebook/HP250I313VA.jpg</t>
  </si>
  <si>
    <t>http://190.183.223.6/gold/images/notebook/HP255r37330u.jpg</t>
  </si>
  <si>
    <t>http://190.183.223.6/gold/images/notebook/HP250i51334uVA.jpg</t>
  </si>
  <si>
    <t>http://190.183.223.6/gold/images/tecla/PADGMP1.jpg</t>
  </si>
  <si>
    <t>http://190.183.223.6/gold/images/tecla/BIGFOOT.jpg</t>
  </si>
  <si>
    <t>http://190.183.223.6/gold/images/tecla/G-WP100S.jpg</t>
  </si>
  <si>
    <t>http://190.183.223.6/gold/images/tecla/G-600HRGB.jpg</t>
  </si>
  <si>
    <t>http://190.183.223.6/gold/images/globalpapel100x150.jpg</t>
  </si>
  <si>
    <t>http://190.183.223.6/gold/images/globalpapel100x180.jpg</t>
  </si>
  <si>
    <t>http://190.183.223.6/gold/images/hp/powerpapel.jpg</t>
  </si>
  <si>
    <t>http://190.183.223.6/gold/images/sonido/S2027.jpg</t>
  </si>
  <si>
    <t>http://190.183.223.6/gold/images/sonido/GENIUS180W.jpg</t>
  </si>
  <si>
    <t>http://190.183.223.6/gold/images/sonido/SP-Q160.jpg</t>
  </si>
  <si>
    <t>http://190.183.223.6/gold/images/sonido/SP-U125.jpg</t>
  </si>
  <si>
    <t>http://190.183.223.6/gold/images/sonido/GENIUS280.jpg</t>
  </si>
  <si>
    <t>http://190.183.223.6/gold/images/sonido/JAVVRGBSET20GXT606.jpg</t>
  </si>
  <si>
    <t>http://190.183.223.6/gold/images/sonido/GENIUS915BT.jpg</t>
  </si>
  <si>
    <t>http://190.183.223.6/gold/images/red/patchKROME.jpg</t>
  </si>
  <si>
    <t>http://190.183.223.6/gold/images/varios/B50U-CXAMD.jpg</t>
  </si>
  <si>
    <t>http://190.183.223.6/gold/images/varios/B50U-CXINTEL.jpg</t>
  </si>
  <si>
    <t>http://190.183.223.6/gold/images/memo/HIKS64GBM200.jpg</t>
  </si>
  <si>
    <t>http://190.183.223.6/gold/images/memo/HIKVISION64GB.jpg</t>
  </si>
  <si>
    <t>http://190.183.223.6/gold/images/memo/pen64dtx.jpg</t>
  </si>
  <si>
    <t>http://190.183.223.6/gold/images/memo/pen128dtxON.jpg</t>
  </si>
  <si>
    <t>http://190.183.223.6/gold/images/varios/pilasx1-2032.jpg</t>
  </si>
  <si>
    <t>http://190.183.223.6/gold/images/varios/pilas2032murata.jpg</t>
  </si>
  <si>
    <t>http://190.183.223.6/gold/images/cable/PINZAglcstrip003.jpg</t>
  </si>
  <si>
    <t>http://190.183.223.6/gold/images/red/NW150US.jpg</t>
  </si>
  <si>
    <t>http://190.183.223.6/gold/images/red/MU6H.jpg</t>
  </si>
  <si>
    <t>http://190.183.223.6/gold/images/red/MW300UH.jpg</t>
  </si>
  <si>
    <t>http://190.183.223.6/gold/images/red/T2E.jpg</t>
  </si>
  <si>
    <t>http://190.183.223.6/gold/images/red/TL-TL-WN823n.jpg</t>
  </si>
  <si>
    <t>http://190.183.223.6/gold/images/red/T2UNANO.jpg</t>
  </si>
  <si>
    <t>http://190.183.223.6/gold/images/red/T3U.jpg</t>
  </si>
  <si>
    <t>http://190.183.223.6/gold/images/red/TL-WN725N.jpg</t>
  </si>
  <si>
    <t>http://190.183.223.6/gold/images/red/TX10UB.jpg</t>
  </si>
  <si>
    <t>http://190.183.223.6/gold/images/red/TX20Unano.jpg</t>
  </si>
  <si>
    <t>http://190.183.223.6/gold/images/varios/USBREDUE300.jpg</t>
  </si>
  <si>
    <t>http://190.183.223.6/gold/images/varios/USBREDUE200.jpg</t>
  </si>
  <si>
    <t>http://190.183.223.6/gold/images/varios/USBREDUE300c.jpg</t>
  </si>
  <si>
    <t>http://190.183.223.6/gold/images/red/TG-3468.jpg</t>
  </si>
  <si>
    <t>http://190.183.223.6/gold/images/sonido/he280.jpg</t>
  </si>
  <si>
    <t>http://190.183.223.6/gold/images/varios/mediapointer2.jpg</t>
  </si>
  <si>
    <t>http://190.183.223.6/gold/images/red/rackglc.jpg</t>
  </si>
  <si>
    <t>http://190.183.223.6/gold/images/red/TL-WA850RE.jpg</t>
  </si>
  <si>
    <t>http://190.183.223.6/gold/images/red/MW300RE.jpg</t>
  </si>
  <si>
    <t>http://190.183.223.6/gold/images/red/H30.jpg</t>
  </si>
  <si>
    <t>http://190.183.223.6/gold/images/red/MW302R.jpg</t>
  </si>
  <si>
    <t>http://190.183.223.6/gold/images/red/DS3WR3N.jpg</t>
  </si>
  <si>
    <t>http://190.183.223.6/gold/images/red/MW305R.jpg</t>
  </si>
  <si>
    <t>http://190.183.223.6/gold/images/red/MW325R.jpg</t>
  </si>
  <si>
    <t>http://190.183.223.6/gold/images/red/TL-WR840N2ANT.jpg</t>
  </si>
  <si>
    <t>http://190.183.223.6/gold/images/red/EC220-F5.jpg</t>
  </si>
  <si>
    <t>http://190.183.223.6/gold/images/red/TL-C50AC750.jpg</t>
  </si>
  <si>
    <t>http://190.183.223.6/gold/images/red/EX141.jpg</t>
  </si>
  <si>
    <t>http://190.183.223.6/gold/images/red/ARCHERC86.jpg</t>
  </si>
  <si>
    <t>http://190.183.223.6/gold/images/red/EX511.jpg</t>
  </si>
  <si>
    <t>http://190.183.223.6/gold/images/red/ROSETA2PORT.jpg</t>
  </si>
  <si>
    <t>http://190.183.223.6/gold/images/gab/RAP-SILLA-R1-GRIS.jpg</t>
  </si>
  <si>
    <t>http://190.183.223.6/gold/images/gab/DK-925BK.jpg</t>
  </si>
  <si>
    <t>http://190.183.223.6/gold/images/red/TL-SF1005D.jpg</t>
  </si>
  <si>
    <t>http://190.183.223.6/gold/images/red/TL-SF1008D.jpg</t>
  </si>
  <si>
    <t>http://190.183.223.6/gold/images/red/TL-SF1016D.jpg</t>
  </si>
  <si>
    <t>http://190.183.223.6/gold/images/red/TL-SG1005D.jpg</t>
  </si>
  <si>
    <t>http://190.183.223.6/gold/images/red/DGS-1008A.jpg</t>
  </si>
  <si>
    <t>http://190.183.223.6/gold/images/red/TL-SF1024.jpg</t>
  </si>
  <si>
    <t>http://190.183.223.6/gold/images/red/TL-SG-1024D.jpg</t>
  </si>
  <si>
    <t>http://190.183.223.6/gold/images/varios/IT-F22.jpg</t>
  </si>
  <si>
    <t>http://190.183.223.6/gold/images/%20varios/IT-TS215V.jpg</t>
  </si>
  <si>
    <t>http://190.183.223.6/gold/images/varios/IT-BBS7.jpg</t>
  </si>
  <si>
    <t>http://190.183.223.6/gold/images/%20varios/IT-TSE44.jpg</t>
  </si>
  <si>
    <t>http://190.183.223.6/gold/images/varios/IT-TSSE42.jpg</t>
  </si>
  <si>
    <t>http://190.183.223.6/gold/images/varios/IT-US102V.jpg</t>
  </si>
  <si>
    <t>http://190.183.223.6/gold/images/varios/IT-DBGS.jpg</t>
  </si>
  <si>
    <t>http://190.183.223.6/gold/images/soft/pandadomeesential.jpg</t>
  </si>
  <si>
    <t>http://190.183.223.6/gold/images/varios/MONOROSA.jpg</t>
  </si>
  <si>
    <t>http://190.183.223.6/gold/images/soft/win11HOME.jpg</t>
  </si>
  <si>
    <t>http://190.183.223.6/gold/images/soft/win11pro.jpg</t>
  </si>
  <si>
    <t>http://190.183.223.6/gold/images/tecla/tabletI608x.jpg</t>
  </si>
  <si>
    <t>http://190.183.223.6/gold/images/varios/tabletMG715.jpg</t>
  </si>
  <si>
    <t>http://190.183.223.6/gold/images/tecla/KB-US9851S.jpg</t>
  </si>
  <si>
    <t>http://190.183.223.6/gold/images/tecla/GENIUSKB116.jpg</t>
  </si>
  <si>
    <t>http://190.183.223.6/gold/images/tecla/K120.jpg</t>
  </si>
  <si>
    <t>http://190.183.223.6/gold/images/tecla/GXK7.jpg</t>
  </si>
  <si>
    <t>http://190.183.223.6/gold/images/tecla/SLIMC230B.jpg</t>
  </si>
  <si>
    <t>http://190.183.223.6/gold/images/tecla/GENIUS820.jpg</t>
  </si>
  <si>
    <t>http://190.183.223.6/gold/images/tecla/LUXE110.jpg</t>
  </si>
  <si>
    <t>http://190.183.223.6/gold/images/tecla/GENIUS7230.jpg</t>
  </si>
  <si>
    <t>http://190.183.223.6/gold/images/tecla/K207-S.jpg</t>
  </si>
  <si>
    <t>http://190.183.223.6/gold/images/tecla/KM100se.jpg</t>
  </si>
  <si>
    <t>http://190.183.223.6/gold/images/tecla/KMG20BKCOMBOWLS.jpg</t>
  </si>
  <si>
    <t>http://190.183.223.6/gold/images/tecla/KM8101.jpg</t>
  </si>
  <si>
    <t>http://190.183.223.6/gold/images/tecla/MK220.jpg</t>
  </si>
  <si>
    <t>http://190.183.223.6/gold/images/tecla/MK235.jpg</t>
  </si>
  <si>
    <t>http://190.183.223.6/gold/images/tecla/MK270.jpg</t>
  </si>
  <si>
    <t>http://190.183.223.6/gold/images/tecla/TRUSTQOBY.jpg</t>
  </si>
  <si>
    <t>http://190.183.223.6/gold/images/tecla/knucker.jpg</t>
  </si>
  <si>
    <t>http://190.183.223.6/gold/images/varios/powertectoner.jpg</t>
  </si>
  <si>
    <t>http://190.183.223.6/gold/images/varios/NEXTtoner.jpg</t>
  </si>
  <si>
    <t>http://190.183.223.6/gold/images/varios/PB211al.jpg</t>
  </si>
  <si>
    <t>http://190.183.223.6/gold/images/varios/globaltoner.jpg</t>
  </si>
  <si>
    <t>http://190.183.223.6/gold/images/globaltoner.jpg</t>
  </si>
  <si>
    <t>http://190.183.223.6/gold/images/tecla/HIK650.jpg</t>
  </si>
  <si>
    <t>http://190.183.223.6/gold/images/tecla/HIK1000.jpg</t>
  </si>
  <si>
    <t>http://190.183.223.6/gold/images/tecla/HIK2000.jpg</t>
  </si>
  <si>
    <t>http://190.183.223.6/gold/images/tecla/FORZA1000A.jpg</t>
  </si>
  <si>
    <t>http://190.183.223.6/gold/images/varios/fan1200.jpg</t>
  </si>
  <si>
    <t>http://190.183.223.6/gold/images/varios/fansamd.jpg</t>
  </si>
  <si>
    <t>http://190.183.223.6/gold/images/varios/FALCONAS01.jpg</t>
  </si>
  <si>
    <t>http://190.183.223.6/gold/images/varios/GAMEMAX120.jpg</t>
  </si>
  <si>
    <t>http://190.183.223.6/gold/images/vga/GF210MSI.jpg</t>
  </si>
  <si>
    <t>http://190.183.223.6/gold/images/vga/RX6400SHAOC.jpg</t>
  </si>
  <si>
    <t>http://190.183.223.6/gold/images/vga/RX7600pulsegamming.jpg</t>
  </si>
  <si>
    <t>http://190.183.223.6/gold/images/vga/VENTUS5060.jpg</t>
  </si>
  <si>
    <t>http://190.183.223.6/gold/images/vga/ZOTAC5060.jpg</t>
  </si>
  <si>
    <t>http://190.183.223.6/gold/images/camara/FACECAM1000X.jpg</t>
  </si>
  <si>
    <t>http://190.183.223.6/gold/images/camara/WEBKELYX.jpg</t>
  </si>
  <si>
    <t>PRODUCTO NUEVO</t>
  </si>
  <si>
    <t>es_Nuevo?</t>
  </si>
  <si>
    <t>id</t>
  </si>
  <si>
    <t>codigo</t>
  </si>
  <si>
    <t>producto</t>
  </si>
  <si>
    <t>garantia</t>
  </si>
  <si>
    <t>precio_publico</t>
  </si>
  <si>
    <t>precio_gremio</t>
  </si>
  <si>
    <t>stock</t>
  </si>
  <si>
    <t>image_url</t>
  </si>
  <si>
    <t>created_at</t>
  </si>
  <si>
    <t>updated_at</t>
  </si>
  <si>
    <t>created_by</t>
  </si>
  <si>
    <t>precio_total</t>
  </si>
  <si>
    <t>categoria</t>
  </si>
  <si>
    <t>sub_categoria</t>
  </si>
  <si>
    <t>Es_Nuevo?</t>
  </si>
  <si>
    <t>ff0c373a-6309-407e-940b-65ec1b4887c6</t>
  </si>
  <si>
    <t>HW-20251201-182744-3050003</t>
  </si>
  <si>
    <t>ADAPTADOR BLUETOOTH 5,0 UB500 PLUS  TPLINK</t>
  </si>
  <si>
    <t>11791.61</t>
  </si>
  <si>
    <t>9826.36</t>
  </si>
  <si>
    <t>2025-12-01 21:27:44.336587+00</t>
  </si>
  <si>
    <t>2025-12-04 17:59:40.772986+00</t>
  </si>
  <si>
    <t>NO</t>
  </si>
  <si>
    <t>c84b9e75-845f-43ec-b4ca-9b77947a3b29</t>
  </si>
  <si>
    <t>HW-20251201-182744-8610002</t>
  </si>
  <si>
    <t>ADAPTADOR BLUETOOTH 5,3 MA530 MERCUSYS</t>
  </si>
  <si>
    <t>6657.04</t>
  </si>
  <si>
    <t>5547.49</t>
  </si>
  <si>
    <t>42b842f8-5232-4be0-89c0-73db6ca8b4fa</t>
  </si>
  <si>
    <t>HW-20251201-182744-1740001</t>
  </si>
  <si>
    <t>ADAPTADOR DVI (MACHO) A HDMI (HEMBRA)</t>
  </si>
  <si>
    <t>6173.85</t>
  </si>
  <si>
    <t>5144.85</t>
  </si>
  <si>
    <t>5fc2e615-2e8b-40aa-9dc8-c491299956c3</t>
  </si>
  <si>
    <t>HW-20251201-182744-6900000</t>
  </si>
  <si>
    <t>18533.61</t>
  </si>
  <si>
    <t>15444.70</t>
  </si>
  <si>
    <t>https://www.geniusnet.com/upload/es/common/PIC_2024123008_0ed916376.webp</t>
  </si>
  <si>
    <t>0ceed603-4b52-47b5-83ea-0386dcc4a9a1</t>
  </si>
  <si>
    <t>HW-20251201-182744-8630004</t>
  </si>
  <si>
    <t>ADAPTADOR USB-C A HDMI 4K 60MHZ   TPLINK</t>
  </si>
  <si>
    <t>29529.65</t>
  </si>
  <si>
    <t>24608.09</t>
  </si>
  <si>
    <t>https://static.tp-link.com/upload/image-line/UA520C_UN_1.0_overview_01_normal_20241015064352y.jpg</t>
  </si>
  <si>
    <t>b09a4442-b270-446e-ad55-3f613e518817</t>
  </si>
  <si>
    <t>HW-20251201-182744-7190011</t>
  </si>
  <si>
    <t>AURICULAR   GENIUS   HS-M300 microfono manos libres  VARIOS COLORES</t>
  </si>
  <si>
    <t>15043.54</t>
  </si>
  <si>
    <t>12536.31</t>
  </si>
  <si>
    <t>PerifÃ©ricos</t>
  </si>
  <si>
    <t>a8af1cb6-03e1-4f4d-981f-dee8565780dc</t>
  </si>
  <si>
    <t>HW-20251201-182744-4020015</t>
  </si>
  <si>
    <t>AURICULAR  CON MICROFONO  NOGANET NG-55VL 1 jack</t>
  </si>
  <si>
    <t>18187.28</t>
  </si>
  <si>
    <t>15156.14</t>
  </si>
  <si>
    <t>c348dcdc-1e9a-42a8-94bf-7ce2a505fe05</t>
  </si>
  <si>
    <t>HW-20251201-182744-2100012</t>
  </si>
  <si>
    <t>AURICULAR  CON MICROFONO  NOGANET X-2670BL 1 jack</t>
  </si>
  <si>
    <t>35d86101-f154-45de-971b-e6da31cf57ae</t>
  </si>
  <si>
    <t>HW-20251201-182744-9790013</t>
  </si>
  <si>
    <t>AURICULAR  CON MICROFONO  NOGANET X-2670RJ 1 jack</t>
  </si>
  <si>
    <t>25c364de-e5e0-48d6-bfcb-8c5bf7b76d72</t>
  </si>
  <si>
    <t>HW-20251201-182744-9550014</t>
  </si>
  <si>
    <t>AURICULAR  CON MICROFONO  NOGANET X-2670RS 1 jack</t>
  </si>
  <si>
    <t>52e493bd-0f3f-4f71-920a-0ad74be202d3</t>
  </si>
  <si>
    <t>HW-20251201-182744-0620010</t>
  </si>
  <si>
    <t>40087.34</t>
  </si>
  <si>
    <t>33406.19</t>
  </si>
  <si>
    <t>afd895ac-7ff1-4415-a475-6560fe9de0cd</t>
  </si>
  <si>
    <t>HW-20251201-182744-1910005</t>
  </si>
  <si>
    <t>16246.44</t>
  </si>
  <si>
    <t>13538.70</t>
  </si>
  <si>
    <t>601a54ea-737b-4823-a183-19f5fb927b1f</t>
  </si>
  <si>
    <t>HW-20251201-182744-8070009</t>
  </si>
  <si>
    <t>AURICULAR Y MICROFONO  GENIUS  HS-GX580U RGB LED USB</t>
  </si>
  <si>
    <t>39481.70</t>
  </si>
  <si>
    <t>32901.39</t>
  </si>
  <si>
    <t>cea8bbb7-002b-4c0d-9f29-8c952cb8be54</t>
  </si>
  <si>
    <t>HW-20251201-182744-7500007</t>
  </si>
  <si>
    <t>9328.62</t>
  </si>
  <si>
    <t>7773.80</t>
  </si>
  <si>
    <t>2dc8a452-4c3d-4733-a8b3-025db0b52a8f</t>
  </si>
  <si>
    <t>HW-20251201-182744-7440008</t>
  </si>
  <si>
    <t>21906.23</t>
  </si>
  <si>
    <t>18255.20</t>
  </si>
  <si>
    <t>ac24b014-263d-4d49-8e99-28dbb326f843</t>
  </si>
  <si>
    <t>HW-20251201-182744-3500006</t>
  </si>
  <si>
    <t>29861.43</t>
  </si>
  <si>
    <t>24884.45</t>
  </si>
  <si>
    <t>dde675e3-5c7d-4ca1-a5c2-baac2af11042</t>
  </si>
  <si>
    <t>HW-20251201-182744-6910018</t>
  </si>
  <si>
    <t>BASE COOLER TRUST AZUL STAND NOTEBOOK</t>
  </si>
  <si>
    <t>58539.52</t>
  </si>
  <si>
    <t>48782.98</t>
  </si>
  <si>
    <t>https://d1gb7gicmr8iau.cloudfront.net/fit-in/1200x900/Media/Images/Product/Visual/20104_pictures_product_visual_1.png</t>
  </si>
  <si>
    <t>RefrigeraciÃ³n</t>
  </si>
  <si>
    <t>8ffc8a0a-0462-4ff1-b5c9-d168d51d2ea2</t>
  </si>
  <si>
    <t>HW-20251201-182744-5620017</t>
  </si>
  <si>
    <t>47900.83</t>
  </si>
  <si>
    <t>39917.26</t>
  </si>
  <si>
    <t>https://http2.mlstatic.com/D_NQ_NP_2X_824855-MLA96663164749_102025-F.webp</t>
  </si>
  <si>
    <t>2fd54e34-c5ad-4f01-a367-bca161f8b986</t>
  </si>
  <si>
    <t>HW-20251201-182744-1460016</t>
  </si>
  <si>
    <t>53167.40</t>
  </si>
  <si>
    <t>44306.09</t>
  </si>
  <si>
    <t>70e14ff2-b9c6-4798-abe4-efc67561c176</t>
  </si>
  <si>
    <t>HW-20251201-182744-9750021</t>
  </si>
  <si>
    <t>153965.89</t>
  </si>
  <si>
    <t>128304.83</t>
  </si>
  <si>
    <t>03fbed43-eb6f-45e0-acfc-d50bb27db022</t>
  </si>
  <si>
    <t>HW-20251201-182744-2550019</t>
  </si>
  <si>
    <t>BOBINA CABLE INTERIOR  KELYX UTP  X 305 MTS</t>
  </si>
  <si>
    <t>114321.02</t>
  </si>
  <si>
    <t>95267.47</t>
  </si>
  <si>
    <t>bf71511b-6ffd-45fc-95cb-3c0d53c6ad71</t>
  </si>
  <si>
    <t>HW-20251201-182744-5280020</t>
  </si>
  <si>
    <t>122028.08</t>
  </si>
  <si>
    <t>101690.04</t>
  </si>
  <si>
    <t>d87f3164-9e96-46b1-9529-3b1005724494</t>
  </si>
  <si>
    <t>HW-20251201-182744-2500024</t>
  </si>
  <si>
    <t>5969.23</t>
  </si>
  <si>
    <t>4974.33</t>
  </si>
  <si>
    <t>a32c7c61-02dc-425f-9183-df14b60c76e3</t>
  </si>
  <si>
    <t>HW-20251201-182744-0010033</t>
  </si>
  <si>
    <t>CABLE CELL ADATA ANDROID USB a MICRO USB</t>
  </si>
  <si>
    <t>8868.51</t>
  </si>
  <si>
    <t>7390.43</t>
  </si>
  <si>
    <t>1e8a6388-9e83-4b3d-bbfd-21c1205fa727</t>
  </si>
  <si>
    <t>HW-20251201-182744-9410041</t>
  </si>
  <si>
    <t>CABLE DISPLAY PORT  1.4 4K a 120Hz / 8K 60Hz 48Gbps 1.5</t>
  </si>
  <si>
    <t>10659.26</t>
  </si>
  <si>
    <t>8882.62</t>
  </si>
  <si>
    <t>57086672-d81c-4ce4-a1c0-e2c9bb836870</t>
  </si>
  <si>
    <t>HW-20251201-182744-8450022</t>
  </si>
  <si>
    <t>26491.31</t>
  </si>
  <si>
    <t>22076.02</t>
  </si>
  <si>
    <t>2c2dd4be-b2d3-4a26-8a76-559ae78da875</t>
  </si>
  <si>
    <t>HW-20251201-182744-3500036</t>
  </si>
  <si>
    <t>2611.46</t>
  </si>
  <si>
    <t>2176.19</t>
  </si>
  <si>
    <t>10fae94b-52ac-4bc9-87d7-e68db9b03cdf</t>
  </si>
  <si>
    <t>HW-20251201-182744-9380037</t>
  </si>
  <si>
    <t>CABLE HDMI  A HDMI 1,5MTS 4k</t>
  </si>
  <si>
    <t>3357.63</t>
  </si>
  <si>
    <t>2798.00</t>
  </si>
  <si>
    <t>c79f4845-9af8-46c1-aee9-debff75afb51</t>
  </si>
  <si>
    <t>HW-20251201-182744-0580040</t>
  </si>
  <si>
    <t>CABLE HDMI  A HDMI 10MTS</t>
  </si>
  <si>
    <t>15402.51</t>
  </si>
  <si>
    <t>12835.45</t>
  </si>
  <si>
    <t>66a36fbc-496c-49c1-8ef6-c947834c2e2c</t>
  </si>
  <si>
    <t>HW-20251201-182744-2740038</t>
  </si>
  <si>
    <t>5276.27</t>
  </si>
  <si>
    <t>4396.92</t>
  </si>
  <si>
    <t>59ad38b6-0a4c-4d95-86e9-5ee175c253ce</t>
  </si>
  <si>
    <t>HW-20251201-182744-1480039</t>
  </si>
  <si>
    <t>6528.71</t>
  </si>
  <si>
    <t>5440.62</t>
  </si>
  <si>
    <t>7198a18e-ea1e-4174-88bb-e8da7b052bd7</t>
  </si>
  <si>
    <t>HW-20251201-182744-1830025</t>
  </si>
  <si>
    <t>CABLE PATCH CORD 0,6MTS CAT 5</t>
  </si>
  <si>
    <t>6258.23</t>
  </si>
  <si>
    <t>5215.27</t>
  </si>
  <si>
    <t>a0b8f733-0d13-451e-9464-5f66c2a4e16f</t>
  </si>
  <si>
    <t>HW-20251201-182744-8490029</t>
  </si>
  <si>
    <t>18964.47</t>
  </si>
  <si>
    <t>15803.82</t>
  </si>
  <si>
    <t>46693fba-3437-49cb-952b-a9018b4a56af</t>
  </si>
  <si>
    <t>HW-20251201-182744-6330030</t>
  </si>
  <si>
    <t>24383.04</t>
  </si>
  <si>
    <t>20319.08</t>
  </si>
  <si>
    <t>6d5cd503-a1f2-41ea-aab2-55d866c5c5c9</t>
  </si>
  <si>
    <t>HW-20251201-182744-6590031</t>
  </si>
  <si>
    <t>32510.67</t>
  </si>
  <si>
    <t>27092.25</t>
  </si>
  <si>
    <t>244ec7f5-3652-4f92-8fd5-74d6309eac72</t>
  </si>
  <si>
    <t>HW-20251201-182744-0500026</t>
  </si>
  <si>
    <t>CABLE PATCH CORD 2MTS CAT 5</t>
  </si>
  <si>
    <t>6773.03</t>
  </si>
  <si>
    <t>5644.21</t>
  </si>
  <si>
    <t>cd667edf-3294-4f1c-9252-1eb1c770bbe1</t>
  </si>
  <si>
    <t>HW-20251201-182744-5980027</t>
  </si>
  <si>
    <t>CABLE PATCH CORD 3MTS CAT 5</t>
  </si>
  <si>
    <t>9753.16</t>
  </si>
  <si>
    <t>8127.63</t>
  </si>
  <si>
    <t>d413327a-d752-4abe-964a-681f906054eb</t>
  </si>
  <si>
    <t>HW-20251201-182744-1820028</t>
  </si>
  <si>
    <t>12733.29</t>
  </si>
  <si>
    <t>10611.05</t>
  </si>
  <si>
    <t>903a2302-ce4f-4439-af7c-c6aec374c540</t>
  </si>
  <si>
    <t>HW-20251201-182744-6380023</t>
  </si>
  <si>
    <t>3117.87</t>
  </si>
  <si>
    <t>2598.23</t>
  </si>
  <si>
    <t>a74ae261-f101-4033-85b2-6c84208a11c2</t>
  </si>
  <si>
    <t>HW-20251201-182744-6030032</t>
  </si>
  <si>
    <t>CABLE POWER  220V</t>
  </si>
  <si>
    <t>5458.26</t>
  </si>
  <si>
    <t>4548.62</t>
  </si>
  <si>
    <t>3be1450e-e16b-418e-9414-96f48148fa81</t>
  </si>
  <si>
    <t>HW-20251201-182744-4980042</t>
  </si>
  <si>
    <t>6928.55</t>
  </si>
  <si>
    <t>5773.72</t>
  </si>
  <si>
    <t>6b3ee344-4257-4b5a-a2b8-51637e3d6be0</t>
  </si>
  <si>
    <t>HW-20251201-182744-1070034</t>
  </si>
  <si>
    <t>2252.04</t>
  </si>
  <si>
    <t>1876.75</t>
  </si>
  <si>
    <t>11faa08e-c714-477f-ac73-02485ce45a13</t>
  </si>
  <si>
    <t>HW-20251201-182744-2000035</t>
  </si>
  <si>
    <t>5271.42</t>
  </si>
  <si>
    <t>4392.80</t>
  </si>
  <si>
    <t>a0d83fa8-5df9-4477-9b2a-2830c577ebe2</t>
  </si>
  <si>
    <t>HW-20251201-182744-6890047</t>
  </si>
  <si>
    <t>5915.87</t>
  </si>
  <si>
    <t>4929.94</t>
  </si>
  <si>
    <t>b09f7a0a-0a91-426e-87a8-309468491042</t>
  </si>
  <si>
    <t>HW-20251201-182744-0370045</t>
  </si>
  <si>
    <t>15653.88</t>
  </si>
  <si>
    <t>13044.93</t>
  </si>
  <si>
    <t>https://http2.mlstatic.com/D_NQ_NP_2X_866832-MLA78534548692_082024-F.webp</t>
  </si>
  <si>
    <t>94170516-02c8-4e64-9e83-dc737cfd1911</t>
  </si>
  <si>
    <t>HW-20251201-182744-4650044</t>
  </si>
  <si>
    <t>635.04</t>
  </si>
  <si>
    <t>529.20</t>
  </si>
  <si>
    <t>5cf719f5-e305-4c63-890f-a74c2387f0ae</t>
  </si>
  <si>
    <t>HW-20251201-182744-7900043</t>
  </si>
  <si>
    <t>499.65</t>
  </si>
  <si>
    <t>416.30</t>
  </si>
  <si>
    <t>cf7d987f-e454-4d7e-9f93-62b7c9ed51d0</t>
  </si>
  <si>
    <t>HW-20251201-182744-6570046</t>
  </si>
  <si>
    <t>6662.04</t>
  </si>
  <si>
    <t>5551.75</t>
  </si>
  <si>
    <t>dfaeb683-82df-46fb-b880-514602c69466</t>
  </si>
  <si>
    <t>HW-20251201-182744-9660048</t>
  </si>
  <si>
    <t>CAMARA IP TAPO C100  Day Night sd Wifi</t>
  </si>
  <si>
    <t>34065.05</t>
  </si>
  <si>
    <t>28387.61</t>
  </si>
  <si>
    <t>CÃ¡maras Web</t>
  </si>
  <si>
    <t>50a67d3e-bade-466a-a21f-6ca5521c4d27</t>
  </si>
  <si>
    <t>HW-20251201-182744-7470049</t>
  </si>
  <si>
    <t>38861.80</t>
  </si>
  <si>
    <t>32384.84</t>
  </si>
  <si>
    <t>1c0d7667-28bf-49db-a8f7-85405e8a372d</t>
  </si>
  <si>
    <t>HW-20251201-182744-0970050</t>
  </si>
  <si>
    <t>71417.45</t>
  </si>
  <si>
    <t>59514.57</t>
  </si>
  <si>
    <t>28718f9e-5746-4017-962d-f215b72ac923</t>
  </si>
  <si>
    <t>HW-20251201-182744-1000064</t>
  </si>
  <si>
    <t>35219.88</t>
  </si>
  <si>
    <t>29349.87</t>
  </si>
  <si>
    <t>Fuentes de AlimentaciÃ³n</t>
  </si>
  <si>
    <t>434c2682-cfaf-4545-b299-dac09a02342d</t>
  </si>
  <si>
    <t>HW-20251201-182744-8700051</t>
  </si>
  <si>
    <t>40136.59</t>
  </si>
  <si>
    <t>33447.20</t>
  </si>
  <si>
    <t>a815a8d3-4267-4616-9e88-a692b9fb69a1</t>
  </si>
  <si>
    <t>HW-20251201-182744-1410054</t>
  </si>
  <si>
    <t>CARGADOR LITEON ACER - 19V 3,42A 3.0Ã—1mm 65W ORIGINAL</t>
  </si>
  <si>
    <t>43129.51</t>
  </si>
  <si>
    <t>35941.21</t>
  </si>
  <si>
    <t>data:image/jpeg</t>
  </si>
  <si>
    <t>16b07065-df88-4403-8b24-418f9e5c4ca8</t>
  </si>
  <si>
    <t>HW-20251201-182744-5820055</t>
  </si>
  <si>
    <t>CARGADOR LITEON ACER - 19V 3,42A 5.5Ã—1.7 65W ORIGINAL    PUNTA AMARILLA</t>
  </si>
  <si>
    <t>48156.47</t>
  </si>
  <si>
    <t>40130.41</t>
  </si>
  <si>
    <t>f78e7ed1-786d-47b3-afc7-6e1f42c606dc</t>
  </si>
  <si>
    <t>HW-20251201-182744-5570063</t>
  </si>
  <si>
    <t>CARGADOR MONITOR SAMSUNG - 14V 2.14A   FUENTE</t>
  </si>
  <si>
    <t>dbceb6c6-5c2a-4c70-a3bc-cccdc40b6ac9</t>
  </si>
  <si>
    <t>HW-20251201-182744-8920056</t>
  </si>
  <si>
    <t>927990b9-5654-4c20-81f5-a3269577a3e2</t>
  </si>
  <si>
    <t>HW-20251201-182744-2680058</t>
  </si>
  <si>
    <t>47809.69</t>
  </si>
  <si>
    <t>39841.41</t>
  </si>
  <si>
    <t>a9ea9a04-2631-4b02-b770-1fd8812a8743</t>
  </si>
  <si>
    <t>HW-20251201-182744-1550057</t>
  </si>
  <si>
    <t>9ec056c7-9e30-411f-94b9-f1f32127b41b</t>
  </si>
  <si>
    <t>HW-20251201-182744-2590053</t>
  </si>
  <si>
    <t>CARGADOR NOTEBOOK HP pin fino azul  - 19.5V 3.32 A 4.Ã—3  65W ORIGINAL */*</t>
  </si>
  <si>
    <t>37804.73</t>
  </si>
  <si>
    <t>31503.86</t>
  </si>
  <si>
    <t>4b19254f-193a-455d-bce1-eb777fa89bec</t>
  </si>
  <si>
    <t>HW-20251201-182744-1600061</t>
  </si>
  <si>
    <t>78c88c93-8f24-46c1-8629-29f8f42bb630</t>
  </si>
  <si>
    <t>HW-20251201-182744-8350052</t>
  </si>
  <si>
    <t>CARGADOR NOTEBOOK TOSHIBA - 19V 3.42A 5.5Ã—2.5 65W ORIGINAL */*</t>
  </si>
  <si>
    <t>33965.23</t>
  </si>
  <si>
    <t>28304.26</t>
  </si>
  <si>
    <t>6c769086-98be-469c-91c5-f9b77d252bdf</t>
  </si>
  <si>
    <t>HW-20251201-182744-8420062</t>
  </si>
  <si>
    <t>44036.35</t>
  </si>
  <si>
    <t>36696.93</t>
  </si>
  <si>
    <t>40f4c695-325e-4b0c-b464-4c96d4799ace</t>
  </si>
  <si>
    <t>HW-20251201-182744-0780060</t>
  </si>
  <si>
    <t>a03637d1-da03-4936-b18d-0c7d7032243e</t>
  </si>
  <si>
    <t>HW-20251201-182744-2750059</t>
  </si>
  <si>
    <t>53492.12</t>
  </si>
  <si>
    <t>44576.72</t>
  </si>
  <si>
    <t>c10ca543-a84e-4677-950a-c3a233b16c97</t>
  </si>
  <si>
    <t>HW-20251201-182744-2600065</t>
  </si>
  <si>
    <t>CARRY DISK SATA 3.5" INTERNO SATA</t>
  </si>
  <si>
    <t>13324.08</t>
  </si>
  <si>
    <t>11103.35</t>
  </si>
  <si>
    <t>https://http2.mlstatic.com/D_NQ_NP_2X_611590-MLA96208845220_102025-F.webp</t>
  </si>
  <si>
    <t>0ac8f972-ef9e-4f37-8a2c-6bef86572cdd</t>
  </si>
  <si>
    <t>HW-20251201-182744-0010068</t>
  </si>
  <si>
    <t>22596.99</t>
  </si>
  <si>
    <t>18830.85</t>
  </si>
  <si>
    <t>fc1b1b35-4aec-4fa1-8c54-abcd0f87852a</t>
  </si>
  <si>
    <t>HW-20251201-182744-3840067</t>
  </si>
  <si>
    <t>19992.59</t>
  </si>
  <si>
    <t>16660.54</t>
  </si>
  <si>
    <t>504cc5ef-8540-4b5e-897f-c278e8ea5196</t>
  </si>
  <si>
    <t>HW-20251201-182744-5310066</t>
  </si>
  <si>
    <t>31524.59</t>
  </si>
  <si>
    <t>26270.52</t>
  </si>
  <si>
    <t>a5c3600f-0d7d-4bae-a285-24ac7dbe36cb</t>
  </si>
  <si>
    <t>HW-20251201-182744-5410093</t>
  </si>
  <si>
    <t>92721597-4b07-4898-ac35-6cd9a5a47f35</t>
  </si>
  <si>
    <t>HW-20251201-182744-8780094</t>
  </si>
  <si>
    <t>136bb056-5127-443f-bea5-9d9d96350b29</t>
  </si>
  <si>
    <t>HW-20251201-182744-0000115</t>
  </si>
  <si>
    <t>4377.37</t>
  </si>
  <si>
    <t>3647.81</t>
  </si>
  <si>
    <t>5b3f0419-5f4e-43f0-ba62-bf11b5d49b5d</t>
  </si>
  <si>
    <t>HW-20251201-182744-8680123</t>
  </si>
  <si>
    <t>CARTUCHO Alternativo T206  NEGRO xp-2101</t>
  </si>
  <si>
    <t>9543.39</t>
  </si>
  <si>
    <t>7952.85</t>
  </si>
  <si>
    <t>ce337b46-2f50-4d1f-a98a-e74ff8bc0db2</t>
  </si>
  <si>
    <t>HW-20251201-182744-7000116</t>
  </si>
  <si>
    <t>CARTUCHO Alternativo T297120 HC NEGRO</t>
  </si>
  <si>
    <t>7276.50</t>
  </si>
  <si>
    <t>6063.75</t>
  </si>
  <si>
    <t>b1c93351-e10b-4777-b566-e853366e5653</t>
  </si>
  <si>
    <t>HW-20251201-182744-6050071</t>
  </si>
  <si>
    <t>29376.04</t>
  </si>
  <si>
    <t>24480.06</t>
  </si>
  <si>
    <t>0c9c97c5-69f6-44c1-9afc-5775383dc458</t>
  </si>
  <si>
    <t>HW-20251201-182744-9700072</t>
  </si>
  <si>
    <t>64a80707-cc6d-4d2e-8549-975b6c44e0f1</t>
  </si>
  <si>
    <t>HW-20251201-182744-9830070</t>
  </si>
  <si>
    <t>29525.98</t>
  </si>
  <si>
    <t>24605.01</t>
  </si>
  <si>
    <t>b9e0b41f-6a09-470f-9244-4a6b4f160440</t>
  </si>
  <si>
    <t>HW-20251201-182744-6020069</t>
  </si>
  <si>
    <t>CARTUCHO EPSON L3110 - TINTA. NEGRO T544120</t>
  </si>
  <si>
    <t>37706.97</t>
  </si>
  <si>
    <t>31422.57</t>
  </si>
  <si>
    <t>a8674c43-2364-4735-8881-ad01ab098bfb</t>
  </si>
  <si>
    <t>HW-20251201-182744-2260073</t>
  </si>
  <si>
    <t>CARTUCHO EPSON L4150/4160 - TINTA. AMARILLO T504420</t>
  </si>
  <si>
    <t>23783.42</t>
  </si>
  <si>
    <t>19819.42</t>
  </si>
  <si>
    <t>febfddbc-5d97-418f-b1d8-38db40ca7b40</t>
  </si>
  <si>
    <t>HW-20251201-182744-8510074</t>
  </si>
  <si>
    <t>e80b768c-c53c-461a-8f2c-83d7380def2a</t>
  </si>
  <si>
    <t>HW-20251201-182744-7230075</t>
  </si>
  <si>
    <t>CARTUCHO EPSON L4150/4160 - TINTA. MAGENTA T504320</t>
  </si>
  <si>
    <t>72a0f1d5-98ea-4be5-a0b9-1280c01b561c</t>
  </si>
  <si>
    <t>HW-20251201-182744-2260076</t>
  </si>
  <si>
    <t>CARTUCHO EPSON L4150/4160 - TINTA. NEGRO T504120</t>
  </si>
  <si>
    <t>37680.36</t>
  </si>
  <si>
    <t>31400.23</t>
  </si>
  <si>
    <t>3a01b054-8423-44f6-957d-020b0bedd74b</t>
  </si>
  <si>
    <t>HW-20251201-182744-7420086</t>
  </si>
  <si>
    <t>CARTUCHO EPSON T0732 CIAN</t>
  </si>
  <si>
    <t>13761.85</t>
  </si>
  <si>
    <t>11468.21</t>
  </si>
  <si>
    <t>a7f346d9-4e69-498a-b4c5-032e9f830b5f</t>
  </si>
  <si>
    <t>HW-20251201-182744-4770084</t>
  </si>
  <si>
    <t>0c5b996b-7d0f-4daa-82e9-a6d2f0060b37</t>
  </si>
  <si>
    <t>HW-20251201-182744-9260085</t>
  </si>
  <si>
    <t>f97290ca-4834-4e8f-8f20-f9f0fbf9feee</t>
  </si>
  <si>
    <t>HW-20251201-182744-0960080</t>
  </si>
  <si>
    <t>28858.45</t>
  </si>
  <si>
    <t>24048.61</t>
  </si>
  <si>
    <t>895b5692-d5fa-4611-8d95-f1101394dcdc</t>
  </si>
  <si>
    <t>HW-20251201-182744-3570077</t>
  </si>
  <si>
    <t>27242.33</t>
  </si>
  <si>
    <t>22701.95</t>
  </si>
  <si>
    <t>7b2a69e4-0ec8-42ab-a151-5bc273db489d</t>
  </si>
  <si>
    <t>HW-20251201-182744-7040078</t>
  </si>
  <si>
    <t>CARTUCHO EPSON T664320-AL MAGENTA P/L200 210</t>
  </si>
  <si>
    <t>19ee22ba-87f6-4795-94f5-084704fc04e0</t>
  </si>
  <si>
    <t>HW-20251201-182744-1500079</t>
  </si>
  <si>
    <t>00376686-d592-4ae3-9f3a-259a915f8cf5</t>
  </si>
  <si>
    <t>HW-20251201-182744-4070081</t>
  </si>
  <si>
    <t>50742.64</t>
  </si>
  <si>
    <t>42285.43</t>
  </si>
  <si>
    <t>7f5ffe79-a0df-4a49-9f8f-02d4284c3d6d</t>
  </si>
  <si>
    <t>HW-20251201-182744-5860083</t>
  </si>
  <si>
    <t>4c4fcccf-ee12-4106-b15c-ca54743f05b7</t>
  </si>
  <si>
    <t>HW-20251201-182744-4250082</t>
  </si>
  <si>
    <t>e827ab3b-eddd-4b7d-bcfd-19152331fd7c</t>
  </si>
  <si>
    <t>HW-20251201-182744-9980129</t>
  </si>
  <si>
    <t>8004.30</t>
  </si>
  <si>
    <t>6670.27</t>
  </si>
  <si>
    <t>5a994035-372b-4432-9099-5623aa8406df</t>
  </si>
  <si>
    <t>HW-20251201-182744-0170128</t>
  </si>
  <si>
    <t>612a884a-7650-4179-a1fe-a137073ee021</t>
  </si>
  <si>
    <t>HW-20251201-182744-8510130</t>
  </si>
  <si>
    <t>98603a9d-0677-4ed8-8cf5-6a2e71dc78bd</t>
  </si>
  <si>
    <t>HW-20251201-182744-4810127</t>
  </si>
  <si>
    <t>10241.49</t>
  </si>
  <si>
    <t>8534.53</t>
  </si>
  <si>
    <t>3a7bdba7-eb5d-4c29-872f-53065ce38031</t>
  </si>
  <si>
    <t>HW-20251201-182744-7890131</t>
  </si>
  <si>
    <t>17338.36</t>
  </si>
  <si>
    <t>14448.63</t>
  </si>
  <si>
    <t>968a99b3-3b88-4a57-bb79-52a59ce649f1</t>
  </si>
  <si>
    <t>HW-20251201-182744-7520133</t>
  </si>
  <si>
    <t>16571.75</t>
  </si>
  <si>
    <t>13809.77</t>
  </si>
  <si>
    <t>c53653a0-f3d4-4bc7-8818-05547936eb7f</t>
  </si>
  <si>
    <t>HW-20251201-182744-5910132</t>
  </si>
  <si>
    <t>438343eb-ff0e-4966-aebe-c42aec3ed5f8</t>
  </si>
  <si>
    <t>HW-20251201-182744-0910134</t>
  </si>
  <si>
    <t>Codigo</t>
  </si>
  <si>
    <t>Producto</t>
  </si>
  <si>
    <t/>
  </si>
  <si>
    <t>GJLP5836</t>
  </si>
  <si>
    <t>IT-BBS7</t>
  </si>
  <si>
    <t>W1500A</t>
  </si>
  <si>
    <t xml:space="preserve">ADAPTADOR DVI (MACHO) A HDMI (HEMBRA) </t>
  </si>
  <si>
    <t xml:space="preserve">ADAPTADOR DISPLAY PORT  A VGA HEMBRA </t>
  </si>
  <si>
    <t>HDMIDISPLAY</t>
  </si>
  <si>
    <t xml:space="preserve">ADAPTADOR HDMI A VGA HEMBRA 720 1080p  </t>
  </si>
  <si>
    <t>HDMIVGAA</t>
  </si>
  <si>
    <t xml:space="preserve">ADAPTADOR USB 3,0 A VGA HEMBRA 720 1080p  </t>
  </si>
  <si>
    <t>USB3VGA</t>
  </si>
  <si>
    <t xml:space="preserve">ADAPTADOR BLUETOOTH 5,3 MA530 MERCUSYS </t>
  </si>
  <si>
    <t xml:space="preserve">ADAPTADOR BLUETOOTH 5,0 UB500 PLUS  TPLINK </t>
  </si>
  <si>
    <t xml:space="preserve">ADAPTADOR USB-C A HDMI 4K 60MHZ   TPLINK </t>
  </si>
  <si>
    <t>AURICULAR Y MICROFONO  GENIUS  HS-200C 2 jack</t>
  </si>
  <si>
    <t>AC0200</t>
  </si>
  <si>
    <t xml:space="preserve">AURICULAR Y MICROFONO  GENIUS  HS-GX580U RGB LED USB 
</t>
  </si>
  <si>
    <t xml:space="preserve">AURICULAR   GENIUS   HS-M300 microfono manos libres  VARIOS COLORES </t>
  </si>
  <si>
    <t xml:space="preserve">AURICULAR  CON MICROFONO  NOGANET X-2670BL 1 jack  </t>
  </si>
  <si>
    <t xml:space="preserve">AURICULAR  CON MICROFONO  NOGANET X-2670RJ 1 jack  </t>
  </si>
  <si>
    <t xml:space="preserve">AURICULAR  CON MICROFONO  NOGANET X-2670RS 1 jack  </t>
  </si>
  <si>
    <t xml:space="preserve">AURICULAR  CON MICROFONO  NOGANET NG-55VL 1 jack  </t>
  </si>
  <si>
    <t xml:space="preserve">BASE COOLER TRUST AZUL STAND NOTEBOOK </t>
  </si>
  <si>
    <t xml:space="preserve">BOBINA CABLE INTERIOR  KELYX UTP  X 305 MTS </t>
  </si>
  <si>
    <t xml:space="preserve">CABLE PATCH CORD 0,6MTS CAT 5 </t>
  </si>
  <si>
    <t xml:space="preserve">CABLE PATCH CORD 2MTS CAT 5 </t>
  </si>
  <si>
    <t xml:space="preserve">CABLE PATCH CORD 3MTS CAT 5 </t>
  </si>
  <si>
    <t xml:space="preserve">CABLE POWER  220V </t>
  </si>
  <si>
    <t xml:space="preserve">CABLE CELL ADATA ANDROID USB a MICRO USB </t>
  </si>
  <si>
    <t>CABLEPORT</t>
  </si>
  <si>
    <t>CARTUCHO HP 664 NEGRO</t>
  </si>
  <si>
    <t>CAHP664</t>
  </si>
  <si>
    <t xml:space="preserve">CPU AMD  Ryzen 5 3400G   AM4 C/VIDEO  </t>
  </si>
  <si>
    <t>RYZEN53400G</t>
  </si>
  <si>
    <t xml:space="preserve">DISCO SSD LEXAR 2.5 256GB  NQ100  </t>
  </si>
  <si>
    <t>LEXAR256</t>
  </si>
  <si>
    <t>DISCO SOLIDO  SSD  MSI 240GB S270 SATA 6.0GB/S</t>
  </si>
  <si>
    <t>S270-240G</t>
  </si>
  <si>
    <t>DISCO SSD M.2 HIKSEMI  256GB  m.2 Wave  en combo</t>
  </si>
  <si>
    <t>HISEM2M256</t>
  </si>
  <si>
    <t xml:space="preserve">DISCO SSD LEXAR 2.5 512GB  NQ100  </t>
  </si>
  <si>
    <t>LEXAR512</t>
  </si>
  <si>
    <t>DISCO SSD M.2 HIKSEMI  512GB  m.2 Wave  SSD</t>
  </si>
  <si>
    <t>HISEMIM512</t>
  </si>
  <si>
    <t>DISCO SSD LEXAR 2.5 960 GB  NQ100</t>
  </si>
  <si>
    <t>LEXAR960</t>
  </si>
  <si>
    <t>GABINETE KIT 500W PERFORMANCE MATE TECLADO  MOUSE</t>
  </si>
  <si>
    <t>GJ6826</t>
  </si>
  <si>
    <t xml:space="preserve">MB MSI H610M-S S1700 DDR4   HDMI  </t>
  </si>
  <si>
    <t>H610M-S</t>
  </si>
  <si>
    <t xml:space="preserve">MEMORIA DDR4 16GB  3200mhz HIKSEMI  </t>
  </si>
  <si>
    <t>HIKSI16D26</t>
  </si>
  <si>
    <t>MEMORIA DDR4 32GB RGB KINGSTON 3200MHZ CL HYPERX FURY</t>
  </si>
  <si>
    <t>HX32C3200R</t>
  </si>
  <si>
    <t>MEMORIA DDR5 16GB KINGSTON 5600MHZ CL  en equipos</t>
  </si>
  <si>
    <t xml:space="preserve">MEMORIA 128GB KINGSTON MICROSD c/Adap Class 10  Plus </t>
  </si>
  <si>
    <t>SD128MB</t>
  </si>
  <si>
    <t>MONITOR SOLARMAX 18.5 VGA HDMI NEGRO  FESX19F2</t>
  </si>
  <si>
    <t>FESX19F2</t>
  </si>
  <si>
    <t xml:space="preserve"> PAD MOUSE GAMER RAPTOR Ultra Glide Antideslizante Impermeable S 260x210x3mm</t>
  </si>
  <si>
    <t>PENDRIVE USB LEXAR 16Gb  V40 USB Flash</t>
  </si>
  <si>
    <t>LXALJDV40-16</t>
  </si>
  <si>
    <t>PENDRIVE USB LEXAR 32Gb  V40 USB Flash</t>
  </si>
  <si>
    <t>LXALJDV40-32</t>
  </si>
  <si>
    <t>PENDRIVE USB LEXAR 64Gb  V40 USB Flash</t>
  </si>
  <si>
    <t>LXALJDV40-64</t>
  </si>
  <si>
    <t xml:space="preserve">ROUTER INALAMBRICO ARCHER  C64 AC1200 mu-mimo Tp-Link    </t>
  </si>
  <si>
    <t>C64AC12000</t>
  </si>
  <si>
    <t>ROUTER TP LINK INALAMBRICO ARCHER AX12 WIFI 6 AX1500</t>
  </si>
  <si>
    <t>ARCHERAX12</t>
  </si>
  <si>
    <t>SWITCH Mercusys MS105G GIGABYTE  5P  MiniDesktop</t>
  </si>
  <si>
    <t>MS105G</t>
  </si>
  <si>
    <t>TONER Alternativo 278A Hp 1606 / 1606 Dn / 1566 436 285 435</t>
  </si>
  <si>
    <t>UPS  FORZA FORZA  750VA 375W NT-752A</t>
  </si>
  <si>
    <t>FORZA750VA</t>
  </si>
  <si>
    <t>UPS  FORZA FORZA  500VA 250W NT-502A</t>
  </si>
  <si>
    <t>FORZA500VA</t>
  </si>
  <si>
    <t>SI</t>
  </si>
  <si>
    <t>Total Calculado</t>
  </si>
  <si>
    <t>Gremio Calculado</t>
  </si>
  <si>
    <t>Ganancia</t>
  </si>
  <si>
    <t>Motherboards - INTEL</t>
  </si>
  <si>
    <t>http://190.183.223.6/gold/images/varios/vgaadiplayporta.jpg</t>
  </si>
  <si>
    <t>http://190.183.223.6/gold/images/hdmiavga.jpg</t>
  </si>
  <si>
    <t>http://190.183.223.6/gold/images/varios/usb3vga.jpg</t>
  </si>
  <si>
    <t>http://190.183.223.6/gold/images/varios/HS-200C.jpg</t>
  </si>
  <si>
    <t>http://190.183.223.6/gold/images/hp/hp664.jpg</t>
  </si>
  <si>
    <t>http://190.183.223.6/gold/images/amd/RYZEN53400g.jpg</t>
  </si>
  <si>
    <t>http://190.183.223.6/gold/images/disco/S270-240G.jpg</t>
  </si>
  <si>
    <t>http://190.183.223.6/gold/images/disco/NQ100-256.jpg</t>
  </si>
  <si>
    <t>http://190.183.223.6/gold/images/disco/NQ100-512.jpg</t>
  </si>
  <si>
    <t>http://190.183.223.6/gold/images/disco/HISEMI256.jpg</t>
  </si>
  <si>
    <t>http://190.183.223.6/gold/images/disco/HISEMI512.jpg</t>
  </si>
  <si>
    <t>http://190.183.223.6/gold/images/gab/kitperformanceMATE.jpg</t>
  </si>
  <si>
    <t>http://190.183.223.6/gold/images/mb/msiH610M-S.jpg</t>
  </si>
  <si>
    <t>http://190.183.223.6/gold/images/memo/sD128KINGSTON.jpg</t>
  </si>
  <si>
    <t>http://190.183.223.6/gold/images/memo/FURY32GBRGB.jpg</t>
  </si>
  <si>
    <t>http://190.183.223.6/gold/images/lcd/FESX19F2.jpg</t>
  </si>
  <si>
    <t>http://190.183.223.6/gold/images/memo/LEXARV4016G.jpg</t>
  </si>
  <si>
    <t>http://190.183.223.6/gold/images/memo/LEXARV4032G.jpg</t>
  </si>
  <si>
    <t>http://190.183.223.6/gold/images/memo/LEXARV4064G.jpg</t>
  </si>
  <si>
    <t>http://190.183.223.6/gold/images/red/ARCHERC64AC1200.jpg</t>
  </si>
  <si>
    <t>http://190.183.223.6/gold/images/red/ARCHERAX12.jpg</t>
  </si>
  <si>
    <t>http://190.183.223.6/gold/images/red/MS105G.jpg</t>
  </si>
  <si>
    <t>http://190.183.223.6/gold/images/tecla/FORZA500A.jpg</t>
  </si>
  <si>
    <t>http://190.183.223.6/gold/images/tecla/FORZA750A.jpg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</si>
</sst>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indexed="9"/>
      <name val="Arial"/>
      <family val="2"/>
    </font>
    <font>
      <sz val="16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indexed="22"/>
      <name val="Arial"/>
    </font>
    <font>
      <u/>
      <sz val="11"/>
      <color theme="10"/>
      <name val="Calibri"/>
      <family val="2"/>
      <scheme val="minor"/>
    </font>
    <font>
      <sz val="16"/>
      <color indexed="22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 vertical="center"/>
    </xf>
    <xf numFmtId="43" fontId="0" fillId="0" borderId="0" xfId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0" xfId="2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43" fontId="0" fillId="0" borderId="0" xfId="1" applyFont="1" applyAlignment="1">
      <alignment horizontal="center" vertical="center"/>
    </xf>
    <xf numFmtId="11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43" fontId="0" fillId="3" borderId="0" xfId="1" applyFont="1" applyFill="1" applyAlignment="1">
      <alignment horizontal="left" vertical="center"/>
    </xf>
    <xf numFmtId="43" fontId="1" fillId="3" borderId="0" xfId="1" applyFont="1" applyFill="1" applyAlignment="1">
      <alignment horizontal="left" vertical="center"/>
    </xf>
    <xf numFmtId="43" fontId="8" fillId="0" borderId="0" xfId="1" applyFont="1" applyAlignment="1">
      <alignment horizontal="left" vertical="center"/>
    </xf>
    <xf numFmtId="43" fontId="5" fillId="0" borderId="0" xfId="1" applyFont="1" applyAlignment="1">
      <alignment horizontal="left" vertical="center"/>
    </xf>
    <xf numFmtId="0" fontId="10" fillId="0" borderId="0" xfId="3" applyAlignment="1">
      <alignment horizontal="right"/>
    </xf>
    <xf numFmtId="43" fontId="5" fillId="0" borderId="0" xfId="1" applyFont="1" applyAlignment="1">
      <alignment horizontal="center" vertical="center"/>
    </xf>
    <xf numFmtId="43" fontId="5" fillId="3" borderId="0" xfId="1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43" fontId="4" fillId="2" borderId="0" xfId="1" applyFont="1" applyFill="1" applyBorder="1" applyAlignment="1">
      <alignment horizontal="center" vertical="center" wrapText="1"/>
    </xf>
    <xf numFmtId="0" fontId="6" fillId="3" borderId="0" xfId="2" applyFont="1" applyFill="1" applyAlignment="1">
      <alignment horizontal="center" vertical="center" wrapText="1"/>
    </xf>
    <xf numFmtId="43" fontId="12" fillId="3" borderId="0" xfId="1" applyFont="1" applyFill="1" applyBorder="1" applyAlignment="1">
      <alignment horizontal="center" vertical="center" wrapText="1"/>
    </xf>
    <xf numFmtId="2" fontId="4" fillId="2" borderId="0" xfId="2" applyNumberFormat="1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3" fontId="4" fillId="2" borderId="0" xfId="1" applyFont="1" applyFill="1" applyAlignment="1">
      <alignment horizontal="center" vertical="center" wrapText="1"/>
    </xf>
  </cellXfs>
  <cellStyles count="4">
    <cellStyle name="Comma" xfId="1" builtinId="3"/>
    <cellStyle name="Hyperlink" xfId="3" builtinId="8"/>
    <cellStyle name="Normal" xfId="0" builtinId="0"/>
    <cellStyle name="Normal 3" xfId="2" xr:uid="{1BE46DBB-A756-496A-9607-7BC7103307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90.183.223.6/gold/images/varios/NEXTtone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719F-26D2-4205-951E-0F14CC8D38CB}">
  <dimension ref="A1:R591"/>
  <sheetViews>
    <sheetView tabSelected="1" zoomScaleNormal="10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I8" sqref="I8"/>
    </sheetView>
  </sheetViews>
  <sheetFormatPr defaultRowHeight="21" x14ac:dyDescent="0.3"/>
  <cols>
    <col min="1" max="1" width="68" style="5" customWidth="1"/>
    <col min="2" max="2" width="15.33203125" style="6" bestFit="1" customWidth="1"/>
    <col min="3" max="3" width="19.5546875" style="15" bestFit="1" customWidth="1"/>
    <col min="4" max="4" width="19.5546875" style="2" bestFit="1" customWidth="1"/>
    <col min="5" max="5" width="19.5546875" style="16" bestFit="1" customWidth="1"/>
    <col min="6" max="6" width="12.77734375" style="2" customWidth="1"/>
    <col min="7" max="7" width="18.44140625" style="1" bestFit="1" customWidth="1"/>
    <col min="8" max="8" width="24.33203125" style="22" customWidth="1"/>
    <col min="9" max="9" width="31" style="22" customWidth="1"/>
    <col min="10" max="10" width="23" style="22" customWidth="1"/>
    <col min="11" max="11" width="23" style="5" customWidth="1"/>
    <col min="12" max="12" width="8.88671875" style="1"/>
    <col min="13" max="13" width="23" style="18" customWidth="1"/>
    <col min="14" max="15" width="23" style="5" customWidth="1"/>
    <col min="16" max="16384" width="8.88671875" style="1"/>
  </cols>
  <sheetData>
    <row r="1" spans="1:18" s="5" customFormat="1" ht="63" x14ac:dyDescent="0.3">
      <c r="A1" s="4" t="s">
        <v>0</v>
      </c>
      <c r="B1" s="25" t="s">
        <v>1</v>
      </c>
      <c r="C1" s="27" t="s">
        <v>2</v>
      </c>
      <c r="D1" s="25" t="s">
        <v>1025</v>
      </c>
      <c r="E1" s="27" t="s">
        <v>3</v>
      </c>
      <c r="F1" s="25" t="s">
        <v>4</v>
      </c>
      <c r="G1" s="28" t="s">
        <v>5</v>
      </c>
      <c r="H1" s="26" t="s">
        <v>1031</v>
      </c>
      <c r="I1" s="26" t="s">
        <v>1032</v>
      </c>
      <c r="J1" s="26" t="s">
        <v>1071</v>
      </c>
      <c r="K1" s="29" t="s">
        <v>1444</v>
      </c>
      <c r="L1" s="30"/>
      <c r="M1" s="31" t="s">
        <v>1943</v>
      </c>
      <c r="N1" s="29" t="s">
        <v>1944</v>
      </c>
      <c r="O1" s="29" t="s">
        <v>1945</v>
      </c>
    </row>
    <row r="2" spans="1:18" x14ac:dyDescent="0.3">
      <c r="A2" s="5" t="s">
        <v>6</v>
      </c>
      <c r="B2" s="20">
        <v>180</v>
      </c>
      <c r="C2" s="21">
        <f>+M2</f>
        <v>18194.527999999998</v>
      </c>
      <c r="D2" s="18">
        <f>+C2</f>
        <v>18194.527999999998</v>
      </c>
      <c r="E2" s="21">
        <f>IF(
A2="","",
C2*0.95)</f>
        <v>17284.801599999999</v>
      </c>
      <c r="F2" s="18">
        <v>1</v>
      </c>
      <c r="G2" s="23" t="s">
        <v>7</v>
      </c>
      <c r="H2" s="22" t="s">
        <v>1055</v>
      </c>
      <c r="I2" s="22" t="s">
        <v>1057</v>
      </c>
      <c r="J2" s="22" t="s">
        <v>1096</v>
      </c>
      <c r="K2" s="11" t="s">
        <v>1467</v>
      </c>
      <c r="M2" s="17">
        <f>IFERROR(
IF(
$A2="","",
(VLOOKUP($G2,'nuevos productoss'!$A:$E,4,0))
),$C2)</f>
        <v>18194.527999999998</v>
      </c>
      <c r="N2" s="17">
        <f>IFERROR(
IF(
$A2="","",
(VLOOKUP($G2,'nuevos productoss'!$A:$E,5,0))
),$C2)</f>
        <v>15419.084000000001</v>
      </c>
      <c r="O2" s="17">
        <f>IFERROR(M2-N2,0)</f>
        <v>2775.4439999999977</v>
      </c>
      <c r="R2"/>
    </row>
    <row r="3" spans="1:18" x14ac:dyDescent="0.3">
      <c r="A3" s="5" t="s">
        <v>1475</v>
      </c>
      <c r="B3" s="20">
        <v>0</v>
      </c>
      <c r="C3" s="21">
        <f>+M3</f>
        <v>6060.4520000000002</v>
      </c>
      <c r="D3" s="18">
        <f t="shared" ref="D3:D66" si="0">+C3</f>
        <v>6060.4520000000002</v>
      </c>
      <c r="E3" s="21">
        <f t="shared" ref="E3:E66" si="1">IF(
A3="","",
C3*0.95)</f>
        <v>5757.4294</v>
      </c>
      <c r="F3" s="18">
        <v>1</v>
      </c>
      <c r="G3" s="23" t="s">
        <v>8</v>
      </c>
      <c r="H3" s="22" t="s">
        <v>1055</v>
      </c>
      <c r="I3" s="22" t="s">
        <v>1057</v>
      </c>
      <c r="J3" s="22" t="s">
        <v>1072</v>
      </c>
      <c r="K3" s="11" t="s">
        <v>1467</v>
      </c>
      <c r="M3" s="17">
        <f>IFERROR(
IF(
$A3="","",
(VLOOKUP($G3,'nuevos productoss'!$A:$E,4,0))
),$C3)</f>
        <v>6060.4520000000002</v>
      </c>
      <c r="N3" s="17">
        <f>IFERROR(
IF(
$A3="","",
(VLOOKUP($G3,'nuevos productoss'!$A:$E,5,0))
),$C3)</f>
        <v>5136.0439999999999</v>
      </c>
      <c r="O3" s="17">
        <f t="shared" ref="O3:O66" si="2">IFERROR(M3-N3,0)</f>
        <v>924.40800000000036</v>
      </c>
      <c r="R3"/>
    </row>
    <row r="4" spans="1:18" x14ac:dyDescent="0.3">
      <c r="B4" s="20"/>
      <c r="C4" s="21" t="str">
        <f>IF(
A4="","",
(VLOOKUP(G4,'nuevos productoss'!A:E,5,0))
)</f>
        <v/>
      </c>
      <c r="D4" s="18" t="str">
        <f t="shared" si="0"/>
        <v/>
      </c>
      <c r="E4" s="21" t="str">
        <f t="shared" si="1"/>
        <v/>
      </c>
      <c r="F4" s="18"/>
      <c r="G4" s="5"/>
      <c r="H4" s="22" t="s">
        <v>1865</v>
      </c>
      <c r="I4" s="22" t="s">
        <v>1865</v>
      </c>
      <c r="J4" s="22" t="s">
        <v>1865</v>
      </c>
      <c r="K4" s="11" t="s">
        <v>1467</v>
      </c>
      <c r="M4" s="17" t="str">
        <f>IFERROR(
IF(
$A4="","",
(VLOOKUP($G4,'nuevos productoss'!$A:$E,4,0))
),$C4)</f>
        <v/>
      </c>
      <c r="N4" s="17" t="str">
        <f>IFERROR(
IF(
$A4="","",
(VLOOKUP($G4,'nuevos productoss'!$A:$E,5,0))
),$C4)</f>
        <v/>
      </c>
      <c r="O4" s="17">
        <f t="shared" si="2"/>
        <v>0</v>
      </c>
      <c r="R4"/>
    </row>
    <row r="5" spans="1:18" x14ac:dyDescent="0.3">
      <c r="A5" s="5" t="s">
        <v>1470</v>
      </c>
      <c r="B5" s="20">
        <v>180</v>
      </c>
      <c r="C5" s="21">
        <v>6657.0420000000004</v>
      </c>
      <c r="D5" s="18">
        <f t="shared" si="0"/>
        <v>6657.0420000000004</v>
      </c>
      <c r="E5" s="21">
        <f t="shared" si="1"/>
        <v>6324.1899000000003</v>
      </c>
      <c r="F5" s="18">
        <v>1</v>
      </c>
      <c r="G5" s="23" t="s">
        <v>9</v>
      </c>
      <c r="H5" s="22" t="s">
        <v>1046</v>
      </c>
      <c r="I5" s="22" t="s">
        <v>1049</v>
      </c>
      <c r="J5" s="22" t="s">
        <v>1073</v>
      </c>
      <c r="K5" s="11" t="s">
        <v>1467</v>
      </c>
      <c r="M5" s="17">
        <f>IFERROR(
IF(
$A5="","",
(VLOOKUP($G5,'nuevos productoss'!$A:$E,4,0))
),$C5)</f>
        <v>6534.7920000000004</v>
      </c>
      <c r="N5" s="17">
        <f>IFERROR(
IF(
$A5="","",
(VLOOKUP($G5,'nuevos productoss'!$A:$E,5,0))
),$C5)</f>
        <v>5538.0119999999997</v>
      </c>
      <c r="O5" s="17">
        <f t="shared" si="2"/>
        <v>996.78000000000065</v>
      </c>
      <c r="R5"/>
    </row>
    <row r="6" spans="1:18" x14ac:dyDescent="0.3">
      <c r="A6" s="5" t="s">
        <v>1462</v>
      </c>
      <c r="B6" s="20">
        <v>180</v>
      </c>
      <c r="C6" s="21">
        <v>11791.605</v>
      </c>
      <c r="D6" s="18">
        <f t="shared" si="0"/>
        <v>11791.605</v>
      </c>
      <c r="E6" s="21">
        <f t="shared" si="1"/>
        <v>11202.024749999999</v>
      </c>
      <c r="F6" s="18">
        <v>1</v>
      </c>
      <c r="G6" s="23" t="s">
        <v>10</v>
      </c>
      <c r="H6" s="22" t="s">
        <v>1046</v>
      </c>
      <c r="I6" s="22" t="s">
        <v>1049</v>
      </c>
      <c r="J6" s="22" t="s">
        <v>1074</v>
      </c>
      <c r="K6" s="11" t="s">
        <v>1467</v>
      </c>
      <c r="M6" s="17">
        <f>IFERROR(
IF(
$A6="","",
(VLOOKUP($G6,'nuevos productoss'!$A:$E,4,0))
),$C6)</f>
        <v>11575.08</v>
      </c>
      <c r="N6" s="17">
        <f>IFERROR(
IF(
$A6="","",
(VLOOKUP($G6,'nuevos productoss'!$A:$E,5,0))
),$C6)</f>
        <v>9809.2919999999995</v>
      </c>
      <c r="O6" s="17">
        <f t="shared" si="2"/>
        <v>1765.7880000000005</v>
      </c>
      <c r="R6"/>
    </row>
    <row r="7" spans="1:18" x14ac:dyDescent="0.3">
      <c r="A7" s="5" t="s">
        <v>1485</v>
      </c>
      <c r="B7" s="20">
        <v>180</v>
      </c>
      <c r="C7" s="21">
        <v>29529.653999999999</v>
      </c>
      <c r="D7" s="18">
        <f t="shared" si="0"/>
        <v>29529.653999999999</v>
      </c>
      <c r="E7" s="21">
        <f t="shared" si="1"/>
        <v>28053.171299999998</v>
      </c>
      <c r="F7" s="18">
        <v>1</v>
      </c>
      <c r="G7" s="23" t="s">
        <v>11</v>
      </c>
      <c r="H7" s="22" t="s">
        <v>1055</v>
      </c>
      <c r="I7" s="22" t="s">
        <v>1057</v>
      </c>
      <c r="J7" s="22" t="s">
        <v>1097</v>
      </c>
      <c r="K7" s="11" t="s">
        <v>1467</v>
      </c>
      <c r="M7" s="17">
        <f>IFERROR(
IF(
$A7="","",
(VLOOKUP($G7,'nuevos productoss'!$A:$E,4,0))
),$C7)</f>
        <v>28987.279999999999</v>
      </c>
      <c r="N7" s="17">
        <f>IFERROR(
IF(
$A7="","",
(VLOOKUP($G7,'nuevos productoss'!$A:$E,5,0))
),$C7)</f>
        <v>24565.484</v>
      </c>
      <c r="O7" s="17">
        <f t="shared" si="2"/>
        <v>4421.7959999999985</v>
      </c>
      <c r="R7"/>
    </row>
    <row r="8" spans="1:18" x14ac:dyDescent="0.3">
      <c r="A8" s="5" t="s">
        <v>12</v>
      </c>
      <c r="B8" s="20">
        <v>15</v>
      </c>
      <c r="C8" s="21">
        <v>16246.44</v>
      </c>
      <c r="D8" s="18">
        <f t="shared" si="0"/>
        <v>16246.44</v>
      </c>
      <c r="E8" s="21">
        <f t="shared" si="1"/>
        <v>15434.118</v>
      </c>
      <c r="F8" s="18">
        <v>1</v>
      </c>
      <c r="G8" s="23" t="s">
        <v>13</v>
      </c>
      <c r="H8" s="22" t="s">
        <v>1058</v>
      </c>
      <c r="I8" s="22" t="s">
        <v>1026</v>
      </c>
      <c r="J8" s="22" t="s">
        <v>1075</v>
      </c>
      <c r="K8" s="11" t="s">
        <v>1467</v>
      </c>
      <c r="M8" s="17">
        <f>IFERROR(
IF(
$A8="","",
(VLOOKUP($G8,'nuevos productoss'!$A:$E,4,0))
),$C8)</f>
        <v>15948.036</v>
      </c>
      <c r="N8" s="17">
        <f>IFERROR(
IF(
$A8="","",
(VLOOKUP($G8,'nuevos productoss'!$A:$E,5,0))
),$C8)</f>
        <v>13515.212</v>
      </c>
      <c r="O8" s="17">
        <f t="shared" si="2"/>
        <v>2432.8240000000005</v>
      </c>
      <c r="R8"/>
    </row>
    <row r="9" spans="1:18" x14ac:dyDescent="0.3">
      <c r="A9" s="5" t="s">
        <v>14</v>
      </c>
      <c r="B9" s="20">
        <v>15</v>
      </c>
      <c r="C9" s="21">
        <v>29861.433000000001</v>
      </c>
      <c r="D9" s="18">
        <f t="shared" si="0"/>
        <v>29861.433000000001</v>
      </c>
      <c r="E9" s="21">
        <f t="shared" si="1"/>
        <v>28368.361349999999</v>
      </c>
      <c r="F9" s="18">
        <v>1</v>
      </c>
      <c r="G9" s="23" t="s">
        <v>15</v>
      </c>
      <c r="H9" s="22" t="s">
        <v>1058</v>
      </c>
      <c r="I9" s="22" t="s">
        <v>1026</v>
      </c>
      <c r="J9" s="22" t="s">
        <v>1076</v>
      </c>
      <c r="K9" s="11" t="s">
        <v>1467</v>
      </c>
      <c r="M9" s="17">
        <f>IFERROR(
IF(
$A9="","",
(VLOOKUP($G9,'nuevos productoss'!$A:$E,4,0))
),$C9)</f>
        <v>29314.952000000001</v>
      </c>
      <c r="N9" s="17">
        <f>IFERROR(
IF(
$A9="","",
(VLOOKUP($G9,'nuevos productoss'!$A:$E,5,0))
),$C9)</f>
        <v>24843.279999999999</v>
      </c>
      <c r="O9" s="17">
        <f t="shared" si="2"/>
        <v>4471.6720000000023</v>
      </c>
      <c r="R9"/>
    </row>
    <row r="10" spans="1:18" x14ac:dyDescent="0.3">
      <c r="B10" s="20"/>
      <c r="C10" s="21"/>
      <c r="D10" s="18">
        <f t="shared" si="0"/>
        <v>0</v>
      </c>
      <c r="E10" s="21" t="str">
        <f t="shared" si="1"/>
        <v/>
      </c>
      <c r="F10" s="18"/>
      <c r="G10" s="5"/>
      <c r="H10" s="22" t="s">
        <v>1865</v>
      </c>
      <c r="I10" s="22" t="s">
        <v>1865</v>
      </c>
      <c r="J10" s="22" t="s">
        <v>1865</v>
      </c>
      <c r="K10" s="11" t="s">
        <v>1467</v>
      </c>
      <c r="M10" s="17" t="str">
        <f>IFERROR(
IF(
$A10="","",
(VLOOKUP($G10,'nuevos productoss'!$A:$E,4,0))
),$C10)</f>
        <v/>
      </c>
      <c r="N10" s="17" t="str">
        <f>IFERROR(
IF(
$A10="","",
(VLOOKUP($G10,'nuevos productoss'!$A:$E,5,0))
),$C10)</f>
        <v/>
      </c>
      <c r="O10" s="17">
        <f t="shared" si="2"/>
        <v>0</v>
      </c>
      <c r="R10"/>
    </row>
    <row r="11" spans="1:18" x14ac:dyDescent="0.3">
      <c r="A11" s="5" t="s">
        <v>16</v>
      </c>
      <c r="B11" s="20">
        <v>15</v>
      </c>
      <c r="C11" s="21">
        <v>9328.6200000000008</v>
      </c>
      <c r="D11" s="18">
        <f t="shared" si="0"/>
        <v>9328.6200000000008</v>
      </c>
      <c r="E11" s="21">
        <f t="shared" si="1"/>
        <v>8862.1890000000003</v>
      </c>
      <c r="F11" s="18">
        <v>1</v>
      </c>
      <c r="G11" s="23" t="s">
        <v>17</v>
      </c>
      <c r="H11" s="22" t="s">
        <v>1058</v>
      </c>
      <c r="I11" s="22" t="s">
        <v>1026</v>
      </c>
      <c r="J11" s="22" t="s">
        <v>1077</v>
      </c>
      <c r="K11" s="11" t="s">
        <v>1467</v>
      </c>
      <c r="M11" s="17">
        <f>IFERROR(
IF(
$A11="","",
(VLOOKUP($G11,'nuevos productoss'!$A:$E,4,0))
),$C11)</f>
        <v>9079.06</v>
      </c>
      <c r="N11" s="17">
        <f>IFERROR(
IF(
$A11="","",
(VLOOKUP($G11,'nuevos productoss'!$A:$E,5,0))
),$C11)</f>
        <v>7694.076</v>
      </c>
      <c r="O11" s="17">
        <f t="shared" si="2"/>
        <v>1384.9839999999995</v>
      </c>
      <c r="R11"/>
    </row>
    <row r="12" spans="1:18" x14ac:dyDescent="0.3">
      <c r="B12" s="20"/>
      <c r="C12" s="21"/>
      <c r="D12" s="18">
        <f t="shared" si="0"/>
        <v>0</v>
      </c>
      <c r="E12" s="21" t="str">
        <f t="shared" si="1"/>
        <v/>
      </c>
      <c r="F12" s="18"/>
      <c r="G12" s="5"/>
      <c r="H12" s="22" t="s">
        <v>1865</v>
      </c>
      <c r="I12" s="22" t="s">
        <v>1865</v>
      </c>
      <c r="J12" s="22" t="s">
        <v>1865</v>
      </c>
      <c r="K12" s="11" t="s">
        <v>1467</v>
      </c>
      <c r="M12" s="17" t="str">
        <f>IFERROR(
IF(
$A12="","",
(VLOOKUP($G12,'nuevos productoss'!$A:$E,4,0))
),$C12)</f>
        <v/>
      </c>
      <c r="N12" s="17" t="str">
        <f>IFERROR(
IF(
$A12="","",
(VLOOKUP($G12,'nuevos productoss'!$A:$E,5,0))
),$C12)</f>
        <v/>
      </c>
      <c r="O12" s="17">
        <f t="shared" si="2"/>
        <v>0</v>
      </c>
      <c r="R12"/>
    </row>
    <row r="13" spans="1:18" x14ac:dyDescent="0.3">
      <c r="B13" s="20"/>
      <c r="C13" s="21"/>
      <c r="D13" s="18">
        <f t="shared" si="0"/>
        <v>0</v>
      </c>
      <c r="E13" s="21" t="str">
        <f t="shared" si="1"/>
        <v/>
      </c>
      <c r="F13" s="18"/>
      <c r="G13" s="5"/>
      <c r="H13" s="22" t="s">
        <v>1865</v>
      </c>
      <c r="I13" s="22" t="s">
        <v>1865</v>
      </c>
      <c r="J13" s="22" t="s">
        <v>1865</v>
      </c>
      <c r="K13" s="11" t="s">
        <v>1467</v>
      </c>
      <c r="M13" s="17" t="str">
        <f>IFERROR(
IF(
$A13="","",
(VLOOKUP($G13,'nuevos productoss'!$A:$E,4,0))
),$C13)</f>
        <v/>
      </c>
      <c r="N13" s="17" t="str">
        <f>IFERROR(
IF(
$A13="","",
(VLOOKUP($G13,'nuevos productoss'!$A:$E,5,0))
),$C13)</f>
        <v/>
      </c>
      <c r="O13" s="17">
        <f t="shared" si="2"/>
        <v>0</v>
      </c>
      <c r="R13"/>
    </row>
    <row r="14" spans="1:18" x14ac:dyDescent="0.3">
      <c r="A14" s="5" t="s">
        <v>18</v>
      </c>
      <c r="B14" s="20">
        <v>15</v>
      </c>
      <c r="C14" s="21">
        <v>21906.234</v>
      </c>
      <c r="D14" s="18">
        <f t="shared" si="0"/>
        <v>21906.234</v>
      </c>
      <c r="E14" s="21">
        <f t="shared" si="1"/>
        <v>20810.922299999998</v>
      </c>
      <c r="F14" s="18">
        <v>1</v>
      </c>
      <c r="G14" s="23" t="s">
        <v>19</v>
      </c>
      <c r="H14" s="22" t="s">
        <v>1058</v>
      </c>
      <c r="I14" s="22" t="s">
        <v>1064</v>
      </c>
      <c r="J14" s="22" t="s">
        <v>1078</v>
      </c>
      <c r="K14" s="11" t="s">
        <v>1467</v>
      </c>
      <c r="M14" s="17">
        <f>IFERROR(
IF(
$A14="","",
(VLOOKUP($G14,'nuevos productoss'!$A:$E,4,0))
),$C14)</f>
        <v>21502.328000000001</v>
      </c>
      <c r="N14" s="17">
        <f>IFERROR(
IF(
$A14="","",
(VLOOKUP($G14,'nuevos productoss'!$A:$E,5,0))
),$C14)</f>
        <v>18222.351999999999</v>
      </c>
      <c r="O14" s="17">
        <f t="shared" si="2"/>
        <v>3279.9760000000024</v>
      </c>
      <c r="R14"/>
    </row>
    <row r="15" spans="1:18" x14ac:dyDescent="0.3">
      <c r="A15" s="5" t="s">
        <v>1519</v>
      </c>
      <c r="B15" s="20">
        <v>30</v>
      </c>
      <c r="C15" s="21">
        <v>39481.701000000001</v>
      </c>
      <c r="D15" s="18">
        <f t="shared" si="0"/>
        <v>39481.701000000001</v>
      </c>
      <c r="E15" s="21">
        <f t="shared" si="1"/>
        <v>37507.615949999999</v>
      </c>
      <c r="F15" s="18">
        <v>1</v>
      </c>
      <c r="G15" s="23" t="s">
        <v>20</v>
      </c>
      <c r="H15" s="22" t="s">
        <v>1058</v>
      </c>
      <c r="I15" s="22" t="s">
        <v>1064</v>
      </c>
      <c r="J15" s="22" t="s">
        <v>1079</v>
      </c>
      <c r="K15" s="11" t="s">
        <v>1467</v>
      </c>
      <c r="M15" s="17">
        <f>IFERROR(
IF(
$A15="","",
(VLOOKUP($G15,'nuevos productoss'!$A:$E,4,0))
),$C15)</f>
        <v>38425.24</v>
      </c>
      <c r="N15" s="17">
        <f>IFERROR(
IF(
$A15="","",
(VLOOKUP($G15,'nuevos productoss'!$A:$E,5,0))
),$C15)</f>
        <v>32563.7</v>
      </c>
      <c r="O15" s="17">
        <f t="shared" si="2"/>
        <v>5861.5399999999972</v>
      </c>
      <c r="R15"/>
    </row>
    <row r="16" spans="1:18" x14ac:dyDescent="0.3">
      <c r="A16" s="5" t="s">
        <v>21</v>
      </c>
      <c r="B16" s="20">
        <v>30</v>
      </c>
      <c r="C16" s="21">
        <v>40087.341</v>
      </c>
      <c r="D16" s="18">
        <f t="shared" si="0"/>
        <v>40087.341</v>
      </c>
      <c r="E16" s="21">
        <f t="shared" si="1"/>
        <v>38082.97395</v>
      </c>
      <c r="F16" s="18">
        <v>1</v>
      </c>
      <c r="G16" s="23" t="s">
        <v>22</v>
      </c>
      <c r="H16" s="22" t="s">
        <v>1058</v>
      </c>
      <c r="I16" s="22" t="s">
        <v>1064</v>
      </c>
      <c r="J16" s="22" t="s">
        <v>1080</v>
      </c>
      <c r="K16" s="11" t="s">
        <v>1467</v>
      </c>
      <c r="M16" s="17">
        <f>IFERROR(
IF(
$A16="","",
(VLOOKUP($G16,'nuevos productoss'!$A:$E,4,0))
),$C16)</f>
        <v>39014.724000000002</v>
      </c>
      <c r="N16" s="17">
        <f>IFERROR(
IF(
$A16="","",
(VLOOKUP($G16,'nuevos productoss'!$A:$E,5,0))
),$C16)</f>
        <v>33063.347999999998</v>
      </c>
      <c r="O16" s="17">
        <f t="shared" si="2"/>
        <v>5951.3760000000038</v>
      </c>
      <c r="R16"/>
    </row>
    <row r="17" spans="1:18" x14ac:dyDescent="0.3">
      <c r="A17" s="5" t="s">
        <v>1491</v>
      </c>
      <c r="B17" s="20">
        <v>15</v>
      </c>
      <c r="C17" s="21">
        <v>15043.539000000001</v>
      </c>
      <c r="D17" s="18">
        <f t="shared" si="0"/>
        <v>15043.539000000001</v>
      </c>
      <c r="E17" s="21">
        <f t="shared" si="1"/>
        <v>14291.36205</v>
      </c>
      <c r="F17" s="18">
        <v>1</v>
      </c>
      <c r="G17" s="23" t="s">
        <v>23</v>
      </c>
      <c r="H17" s="22" t="s">
        <v>1058</v>
      </c>
      <c r="I17" s="22" t="s">
        <v>1064</v>
      </c>
      <c r="J17" s="22" t="s">
        <v>1081</v>
      </c>
      <c r="K17" s="11" t="s">
        <v>1467</v>
      </c>
      <c r="M17" s="17">
        <f>IFERROR(
IF(
$A17="","",
(VLOOKUP($G17,'nuevos productoss'!$A:$E,4,0))
),$C17)</f>
        <v>14766.108</v>
      </c>
      <c r="N17" s="17">
        <f>IFERROR(
IF(
$A17="","",
(VLOOKUP($G17,'nuevos productoss'!$A:$E,5,0))
),$C17)</f>
        <v>12513.696</v>
      </c>
      <c r="O17" s="17">
        <f t="shared" si="2"/>
        <v>2252.4120000000003</v>
      </c>
      <c r="R17"/>
    </row>
    <row r="18" spans="1:18" x14ac:dyDescent="0.3">
      <c r="A18" s="5" t="s">
        <v>1502</v>
      </c>
      <c r="B18" s="20">
        <v>15</v>
      </c>
      <c r="C18" s="21">
        <v>18187.280999999999</v>
      </c>
      <c r="D18" s="18">
        <f t="shared" si="0"/>
        <v>18187.280999999999</v>
      </c>
      <c r="E18" s="21">
        <f t="shared" si="1"/>
        <v>17277.916949999999</v>
      </c>
      <c r="F18" s="18">
        <v>1</v>
      </c>
      <c r="G18" s="23" t="s">
        <v>24</v>
      </c>
      <c r="H18" s="22" t="s">
        <v>1058</v>
      </c>
      <c r="I18" s="22" t="s">
        <v>1064</v>
      </c>
      <c r="J18" s="22" t="s">
        <v>1082</v>
      </c>
      <c r="K18" s="11" t="s">
        <v>1467</v>
      </c>
      <c r="M18" s="17">
        <f>IFERROR(
IF(
$A18="","",
(VLOOKUP($G18,'nuevos productoss'!$A:$E,4,0))
),$C18)</f>
        <v>17697.988000000001</v>
      </c>
      <c r="N18" s="17">
        <f>IFERROR(
IF(
$A18="","",
(VLOOKUP($G18,'nuevos productoss'!$A:$E,5,0))
),$C18)</f>
        <v>14998.32</v>
      </c>
      <c r="O18" s="17">
        <f t="shared" si="2"/>
        <v>2699.6680000000015</v>
      </c>
      <c r="R18"/>
    </row>
    <row r="19" spans="1:18" x14ac:dyDescent="0.3">
      <c r="A19" s="5" t="s">
        <v>1505</v>
      </c>
      <c r="B19" s="20">
        <v>15</v>
      </c>
      <c r="C19" s="21">
        <v>18187.280999999999</v>
      </c>
      <c r="D19" s="18">
        <f t="shared" si="0"/>
        <v>18187.280999999999</v>
      </c>
      <c r="E19" s="21">
        <f t="shared" si="1"/>
        <v>17277.916949999999</v>
      </c>
      <c r="F19" s="18">
        <v>1</v>
      </c>
      <c r="G19" s="23" t="s">
        <v>25</v>
      </c>
      <c r="H19" s="22" t="s">
        <v>1058</v>
      </c>
      <c r="I19" s="22" t="s">
        <v>1064</v>
      </c>
      <c r="J19" s="22" t="s">
        <v>1083</v>
      </c>
      <c r="K19" s="11" t="s">
        <v>1467</v>
      </c>
      <c r="M19" s="17">
        <f>IFERROR(
IF(
$A19="","",
(VLOOKUP($G19,'nuevos productoss'!$A:$E,4,0))
),$C19)</f>
        <v>17697.988000000001</v>
      </c>
      <c r="N19" s="17">
        <f>IFERROR(
IF(
$A19="","",
(VLOOKUP($G19,'nuevos productoss'!$A:$E,5,0))
),$C19)</f>
        <v>14998.32</v>
      </c>
      <c r="O19" s="17">
        <f t="shared" si="2"/>
        <v>2699.6680000000015</v>
      </c>
      <c r="R19"/>
    </row>
    <row r="20" spans="1:18" x14ac:dyDescent="0.3">
      <c r="A20" s="5" t="s">
        <v>1508</v>
      </c>
      <c r="B20" s="20">
        <v>15</v>
      </c>
      <c r="C20" s="21">
        <v>18187.280999999999</v>
      </c>
      <c r="D20" s="18">
        <f t="shared" si="0"/>
        <v>18187.280999999999</v>
      </c>
      <c r="E20" s="21">
        <f t="shared" si="1"/>
        <v>17277.916949999999</v>
      </c>
      <c r="F20" s="18">
        <v>1</v>
      </c>
      <c r="G20" s="23" t="s">
        <v>26</v>
      </c>
      <c r="H20" s="22" t="s">
        <v>1058</v>
      </c>
      <c r="I20" s="22" t="s">
        <v>1064</v>
      </c>
      <c r="J20" s="22" t="s">
        <v>1084</v>
      </c>
      <c r="K20" s="11" t="s">
        <v>1467</v>
      </c>
      <c r="M20" s="17">
        <f>IFERROR(
IF(
$A20="","",
(VLOOKUP($G20,'nuevos productoss'!$A:$E,4,0))
),$C20)</f>
        <v>17697.988000000001</v>
      </c>
      <c r="N20" s="17">
        <f>IFERROR(
IF(
$A20="","",
(VLOOKUP($G20,'nuevos productoss'!$A:$E,5,0))
),$C20)</f>
        <v>14998.32</v>
      </c>
      <c r="O20" s="17">
        <f t="shared" si="2"/>
        <v>2699.6680000000015</v>
      </c>
      <c r="R20"/>
    </row>
    <row r="21" spans="1:18" x14ac:dyDescent="0.3">
      <c r="A21" s="5" t="s">
        <v>1497</v>
      </c>
      <c r="B21" s="20">
        <v>15</v>
      </c>
      <c r="C21" s="21">
        <v>18187.280999999999</v>
      </c>
      <c r="D21" s="18">
        <f t="shared" si="0"/>
        <v>18187.280999999999</v>
      </c>
      <c r="E21" s="21">
        <f t="shared" si="1"/>
        <v>17277.916949999999</v>
      </c>
      <c r="F21" s="18">
        <v>1</v>
      </c>
      <c r="G21" s="23" t="s">
        <v>27</v>
      </c>
      <c r="H21" s="22" t="s">
        <v>1058</v>
      </c>
      <c r="I21" s="22" t="s">
        <v>1064</v>
      </c>
      <c r="J21" s="22" t="s">
        <v>1085</v>
      </c>
      <c r="K21" s="11" t="s">
        <v>1467</v>
      </c>
      <c r="M21" s="17">
        <f>IFERROR(
IF(
$A21="","",
(VLOOKUP($G21,'nuevos productoss'!$A:$E,4,0))
),$C21)</f>
        <v>17697.988000000001</v>
      </c>
      <c r="N21" s="17">
        <f>IFERROR(
IF(
$A21="","",
(VLOOKUP($G21,'nuevos productoss'!$A:$E,5,0))
),$C21)</f>
        <v>14998.32</v>
      </c>
      <c r="O21" s="17">
        <f t="shared" si="2"/>
        <v>2699.6680000000015</v>
      </c>
      <c r="R21"/>
    </row>
    <row r="22" spans="1:18" x14ac:dyDescent="0.3">
      <c r="A22" s="5" t="s">
        <v>28</v>
      </c>
      <c r="B22" s="20">
        <v>0</v>
      </c>
      <c r="C22" s="21">
        <v>53167.400999999998</v>
      </c>
      <c r="D22" s="18">
        <f t="shared" si="0"/>
        <v>53167.400999999998</v>
      </c>
      <c r="E22" s="21">
        <f t="shared" si="1"/>
        <v>50509.030949999993</v>
      </c>
      <c r="F22" s="18">
        <v>1</v>
      </c>
      <c r="G22" s="23" t="s">
        <v>29</v>
      </c>
      <c r="H22" s="22" t="s">
        <v>1055</v>
      </c>
      <c r="I22" s="22" t="s">
        <v>1056</v>
      </c>
      <c r="J22" s="22" t="s">
        <v>1086</v>
      </c>
      <c r="K22" s="11" t="s">
        <v>1467</v>
      </c>
      <c r="M22" s="17">
        <f>IFERROR(
IF(
$A22="","",
(VLOOKUP($G22,'nuevos productoss'!$A:$E,4,0))
),$C22)</f>
        <v>51744.796000000002</v>
      </c>
      <c r="N22" s="17">
        <f>IFERROR(
IF(
$A22="","",
(VLOOKUP($G22,'nuevos productoss'!$A:$E,5,0))
),$C22)</f>
        <v>43851.512000000002</v>
      </c>
      <c r="O22" s="17">
        <f t="shared" si="2"/>
        <v>7893.2839999999997</v>
      </c>
      <c r="R22"/>
    </row>
    <row r="23" spans="1:18" x14ac:dyDescent="0.3">
      <c r="A23" s="5" t="s">
        <v>30</v>
      </c>
      <c r="B23" s="20">
        <v>30</v>
      </c>
      <c r="C23" s="21">
        <v>47900.832000000002</v>
      </c>
      <c r="D23" s="18">
        <f t="shared" si="0"/>
        <v>47900.832000000002</v>
      </c>
      <c r="E23" s="21">
        <f t="shared" si="1"/>
        <v>45505.790399999998</v>
      </c>
      <c r="F23" s="18">
        <v>1</v>
      </c>
      <c r="G23" s="23" t="s">
        <v>31</v>
      </c>
      <c r="H23" s="22" t="s">
        <v>1033</v>
      </c>
      <c r="I23" s="22" t="s">
        <v>1043</v>
      </c>
      <c r="J23" s="22" t="s">
        <v>1098</v>
      </c>
      <c r="K23" s="11" t="s">
        <v>1467</v>
      </c>
      <c r="M23" s="17">
        <f>IFERROR(
IF(
$A23="","",
(VLOOKUP($G23,'nuevos productoss'!$A:$E,4,0))
),$C23)</f>
        <v>47020.932000000001</v>
      </c>
      <c r="N23" s="17">
        <f>IFERROR(
IF(
$A23="","",
(VLOOKUP($G23,'nuevos productoss'!$A:$E,5,0))
),$C23)</f>
        <v>39848.26</v>
      </c>
      <c r="O23" s="17">
        <f t="shared" si="2"/>
        <v>7172.6719999999987</v>
      </c>
      <c r="R23"/>
    </row>
    <row r="24" spans="1:18" x14ac:dyDescent="0.3">
      <c r="A24" s="5" t="s">
        <v>1536</v>
      </c>
      <c r="B24" s="20">
        <v>30</v>
      </c>
      <c r="C24" s="21">
        <v>58539.516000000003</v>
      </c>
      <c r="D24" s="18">
        <f t="shared" si="0"/>
        <v>58539.516000000003</v>
      </c>
      <c r="E24" s="21">
        <f t="shared" si="1"/>
        <v>55612.540200000003</v>
      </c>
      <c r="F24" s="18">
        <v>1</v>
      </c>
      <c r="G24" s="23" t="s">
        <v>32</v>
      </c>
      <c r="H24" s="22" t="s">
        <v>1033</v>
      </c>
      <c r="I24" s="22" t="s">
        <v>1043</v>
      </c>
      <c r="J24" s="22" t="s">
        <v>1099</v>
      </c>
      <c r="K24" s="11" t="s">
        <v>1467</v>
      </c>
      <c r="M24" s="17">
        <f>IFERROR(
IF(
$A24="","",
(VLOOKUP($G24,'nuevos productoss'!$A:$E,4,0))
),$C24)</f>
        <v>57464.404000000002</v>
      </c>
      <c r="N24" s="17">
        <f>IFERROR(
IF(
$A24="","",
(VLOOKUP($G24,'nuevos productoss'!$A:$E,5,0))
),$C24)</f>
        <v>48698.66</v>
      </c>
      <c r="O24" s="17">
        <f t="shared" si="2"/>
        <v>8765.7439999999988</v>
      </c>
      <c r="R24"/>
    </row>
    <row r="25" spans="1:18" x14ac:dyDescent="0.3">
      <c r="A25" s="5" t="s">
        <v>1556</v>
      </c>
      <c r="B25" s="20">
        <v>15</v>
      </c>
      <c r="C25" s="21">
        <v>114321.018</v>
      </c>
      <c r="D25" s="18">
        <f t="shared" si="0"/>
        <v>114321.018</v>
      </c>
      <c r="E25" s="21">
        <f t="shared" si="1"/>
        <v>108604.96709999999</v>
      </c>
      <c r="F25" s="18">
        <v>1</v>
      </c>
      <c r="G25" s="23" t="s">
        <v>33</v>
      </c>
      <c r="H25" s="22" t="s">
        <v>1046</v>
      </c>
      <c r="I25" s="22" t="s">
        <v>1050</v>
      </c>
      <c r="J25" s="22" t="s">
        <v>1087</v>
      </c>
      <c r="K25" s="11" t="s">
        <v>1467</v>
      </c>
      <c r="M25" s="17">
        <f>IFERROR(
IF(
$A25="","",
(VLOOKUP($G25,'nuevos productoss'!$A:$E,4,0))
),$C25)</f>
        <v>112221.296</v>
      </c>
      <c r="N25" s="17">
        <f>IFERROR(
IF(
$A25="","",
(VLOOKUP($G25,'nuevos productoss'!$A:$E,5,0))
),$C25)</f>
        <v>95102.728000000003</v>
      </c>
      <c r="O25" s="17">
        <f t="shared" si="2"/>
        <v>17118.567999999999</v>
      </c>
      <c r="R25"/>
    </row>
    <row r="26" spans="1:18" x14ac:dyDescent="0.3">
      <c r="A26" s="5" t="s">
        <v>34</v>
      </c>
      <c r="B26" s="20">
        <v>15</v>
      </c>
      <c r="C26" s="21">
        <v>122028.08100000001</v>
      </c>
      <c r="D26" s="18">
        <f t="shared" si="0"/>
        <v>122028.08100000001</v>
      </c>
      <c r="E26" s="21">
        <f t="shared" si="1"/>
        <v>115926.67694999999</v>
      </c>
      <c r="F26" s="18">
        <v>1</v>
      </c>
      <c r="G26" s="23" t="s">
        <v>35</v>
      </c>
      <c r="H26" s="22" t="s">
        <v>1046</v>
      </c>
      <c r="I26" s="22" t="s">
        <v>1050</v>
      </c>
      <c r="J26" s="22" t="s">
        <v>1088</v>
      </c>
      <c r="K26" s="11" t="s">
        <v>1467</v>
      </c>
      <c r="M26" s="17">
        <f>IFERROR(
IF(
$A26="","",
(VLOOKUP($G26,'nuevos productoss'!$A:$E,4,0))
),$C26)</f>
        <v>122028.08100000001</v>
      </c>
      <c r="N26" s="17">
        <f>IFERROR(
IF(
$A26="","",
(VLOOKUP($G26,'nuevos productoss'!$A:$E,5,0))
),$C26)</f>
        <v>122028.08100000001</v>
      </c>
      <c r="O26" s="17">
        <f t="shared" si="2"/>
        <v>0</v>
      </c>
      <c r="R26"/>
    </row>
    <row r="27" spans="1:18" x14ac:dyDescent="0.3">
      <c r="A27" s="5" t="s">
        <v>36</v>
      </c>
      <c r="B27" s="20">
        <v>15</v>
      </c>
      <c r="C27" s="21">
        <v>153965.889</v>
      </c>
      <c r="D27" s="18">
        <f t="shared" si="0"/>
        <v>153965.889</v>
      </c>
      <c r="E27" s="21">
        <f t="shared" si="1"/>
        <v>146267.59454999998</v>
      </c>
      <c r="F27" s="18">
        <v>1</v>
      </c>
      <c r="G27" s="23" t="s">
        <v>37</v>
      </c>
      <c r="H27" s="22" t="s">
        <v>1046</v>
      </c>
      <c r="I27" s="22" t="s">
        <v>1050</v>
      </c>
      <c r="J27" s="22" t="s">
        <v>1089</v>
      </c>
      <c r="K27" s="11" t="s">
        <v>1467</v>
      </c>
      <c r="M27" s="17">
        <f>IFERROR(
IF(
$A27="","",
(VLOOKUP($G27,'nuevos productoss'!$A:$E,4,0))
),$C27)</f>
        <v>151137.89600000001</v>
      </c>
      <c r="N27" s="17">
        <f>IFERROR(
IF(
$A27="","",
(VLOOKUP($G27,'nuevos productoss'!$A:$E,5,0))
),$C27)</f>
        <v>128082.9</v>
      </c>
      <c r="O27" s="17">
        <f t="shared" si="2"/>
        <v>23054.996000000014</v>
      </c>
      <c r="R27"/>
    </row>
    <row r="28" spans="1:18" x14ac:dyDescent="0.3">
      <c r="B28" s="20"/>
      <c r="C28" s="21"/>
      <c r="D28" s="18">
        <f t="shared" si="0"/>
        <v>0</v>
      </c>
      <c r="E28" s="21" t="str">
        <f t="shared" si="1"/>
        <v/>
      </c>
      <c r="F28" s="18"/>
      <c r="G28" s="5"/>
      <c r="H28" s="22" t="s">
        <v>1865</v>
      </c>
      <c r="I28" s="22" t="s">
        <v>1865</v>
      </c>
      <c r="J28" s="22" t="s">
        <v>1865</v>
      </c>
      <c r="K28" s="11" t="s">
        <v>1467</v>
      </c>
      <c r="M28" s="17" t="str">
        <f>IFERROR(
IF(
$A28="","",
(VLOOKUP($G28,'nuevos productoss'!$A:$E,4,0))
),$C28)</f>
        <v/>
      </c>
      <c r="N28" s="17" t="str">
        <f>IFERROR(
IF(
$A28="","",
(VLOOKUP($G28,'nuevos productoss'!$A:$E,5,0))
),$C28)</f>
        <v/>
      </c>
      <c r="O28" s="17">
        <f t="shared" si="2"/>
        <v>0</v>
      </c>
      <c r="R28"/>
    </row>
    <row r="29" spans="1:18" x14ac:dyDescent="0.3">
      <c r="B29" s="20"/>
      <c r="C29" s="21"/>
      <c r="D29" s="18">
        <f t="shared" si="0"/>
        <v>0</v>
      </c>
      <c r="E29" s="21" t="str">
        <f t="shared" si="1"/>
        <v/>
      </c>
      <c r="F29" s="18"/>
      <c r="G29" s="5"/>
      <c r="H29" s="22" t="s">
        <v>1865</v>
      </c>
      <c r="I29" s="22" t="s">
        <v>1865</v>
      </c>
      <c r="J29" s="22" t="s">
        <v>1865</v>
      </c>
      <c r="K29" s="11" t="s">
        <v>1467</v>
      </c>
      <c r="M29" s="17" t="str">
        <f>IFERROR(
IF(
$A29="","",
(VLOOKUP($G29,'nuevos productoss'!$A:$E,4,0))
),$C29)</f>
        <v/>
      </c>
      <c r="N29" s="17" t="str">
        <f>IFERROR(
IF(
$A29="","",
(VLOOKUP($G29,'nuevos productoss'!$A:$E,5,0))
),$C29)</f>
        <v/>
      </c>
      <c r="O29" s="17">
        <f t="shared" si="2"/>
        <v>0</v>
      </c>
      <c r="R29"/>
    </row>
    <row r="30" spans="1:18" x14ac:dyDescent="0.3">
      <c r="A30" s="5" t="s">
        <v>38</v>
      </c>
      <c r="B30" s="20">
        <v>720</v>
      </c>
      <c r="C30" s="21">
        <v>26491.311000000002</v>
      </c>
      <c r="D30" s="18">
        <f t="shared" si="0"/>
        <v>26491.311000000002</v>
      </c>
      <c r="E30" s="21">
        <f t="shared" si="1"/>
        <v>25166.745449999999</v>
      </c>
      <c r="F30" s="18">
        <v>1</v>
      </c>
      <c r="G30" s="23" t="s">
        <v>39</v>
      </c>
      <c r="H30" s="22" t="s">
        <v>1046</v>
      </c>
      <c r="I30" s="22" t="s">
        <v>1050</v>
      </c>
      <c r="J30" s="22" t="s">
        <v>1090</v>
      </c>
      <c r="K30" s="11" t="s">
        <v>1467</v>
      </c>
      <c r="M30" s="17">
        <f>IFERROR(
IF(
$A30="","",
(VLOOKUP($G30,'nuevos productoss'!$A:$E,4,0))
),$C30)</f>
        <v>26002.86</v>
      </c>
      <c r="N30" s="17">
        <f>IFERROR(
IF(
$A30="","",
(VLOOKUP($G30,'nuevos productoss'!$A:$E,5,0))
),$C30)</f>
        <v>22036.312000000002</v>
      </c>
      <c r="O30" s="17">
        <f t="shared" si="2"/>
        <v>3966.5479999999989</v>
      </c>
      <c r="R30"/>
    </row>
    <row r="31" spans="1:18" x14ac:dyDescent="0.3">
      <c r="A31" s="5" t="s">
        <v>40</v>
      </c>
      <c r="B31" s="20">
        <v>15</v>
      </c>
      <c r="C31" s="21">
        <v>3117.87</v>
      </c>
      <c r="D31" s="18">
        <f t="shared" si="0"/>
        <v>3117.87</v>
      </c>
      <c r="E31" s="21">
        <f t="shared" si="1"/>
        <v>2961.9764999999998</v>
      </c>
      <c r="F31" s="18">
        <v>1</v>
      </c>
      <c r="G31" s="23" t="s">
        <v>41</v>
      </c>
      <c r="H31" s="22" t="s">
        <v>1046</v>
      </c>
      <c r="I31" s="22" t="s">
        <v>1050</v>
      </c>
      <c r="J31" s="22" t="s">
        <v>1091</v>
      </c>
      <c r="K31" s="11" t="s">
        <v>1467</v>
      </c>
      <c r="M31" s="17">
        <f>IFERROR(
IF(
$A31="","",
(VLOOKUP($G31,'nuevos productoss'!$A:$E,4,0))
),$C31)</f>
        <v>3060.3440000000001</v>
      </c>
      <c r="N31" s="17">
        <f>IFERROR(
IF(
$A31="","",
(VLOOKUP($G31,'nuevos productoss'!$A:$E,5,0))
),$C31)</f>
        <v>2593.5520000000001</v>
      </c>
      <c r="O31" s="17">
        <f t="shared" si="2"/>
        <v>466.79199999999992</v>
      </c>
      <c r="R31"/>
    </row>
    <row r="32" spans="1:18" x14ac:dyDescent="0.3">
      <c r="A32" s="5" t="s">
        <v>42</v>
      </c>
      <c r="B32" s="20">
        <v>15</v>
      </c>
      <c r="C32" s="21">
        <v>5969.2290000000003</v>
      </c>
      <c r="D32" s="18">
        <f t="shared" si="0"/>
        <v>5969.2290000000003</v>
      </c>
      <c r="E32" s="21">
        <f t="shared" si="1"/>
        <v>5670.7675499999996</v>
      </c>
      <c r="F32" s="18">
        <v>1</v>
      </c>
      <c r="G32" s="23" t="s">
        <v>43</v>
      </c>
      <c r="H32" s="22" t="s">
        <v>1046</v>
      </c>
      <c r="I32" s="22" t="s">
        <v>1050</v>
      </c>
      <c r="J32" s="22" t="s">
        <v>1092</v>
      </c>
      <c r="K32" s="11" t="s">
        <v>1467</v>
      </c>
      <c r="M32" s="17">
        <f>IFERROR(
IF(
$A32="","",
(VLOOKUP($G32,'nuevos productoss'!$A:$E,4,0))
),$C32)</f>
        <v>5860.3559999999998</v>
      </c>
      <c r="N32" s="17">
        <f>IFERROR(
IF(
$A32="","",
(VLOOKUP($G32,'nuevos productoss'!$A:$E,5,0))
),$C32)</f>
        <v>4966.4359999999997</v>
      </c>
      <c r="O32" s="17">
        <f t="shared" si="2"/>
        <v>893.92000000000007</v>
      </c>
      <c r="R32"/>
    </row>
    <row r="33" spans="1:18" x14ac:dyDescent="0.3">
      <c r="A33" s="5" t="s">
        <v>1605</v>
      </c>
      <c r="B33" s="20">
        <v>15</v>
      </c>
      <c r="C33" s="21">
        <v>6258.2309999999998</v>
      </c>
      <c r="D33" s="18">
        <f t="shared" si="0"/>
        <v>6258.2309999999998</v>
      </c>
      <c r="E33" s="21">
        <f t="shared" si="1"/>
        <v>5945.3194499999991</v>
      </c>
      <c r="F33" s="18">
        <v>1</v>
      </c>
      <c r="G33" s="23" t="s">
        <v>44</v>
      </c>
      <c r="H33" s="22" t="s">
        <v>1046</v>
      </c>
      <c r="I33" s="22" t="s">
        <v>1050</v>
      </c>
      <c r="J33" s="22" t="s">
        <v>1093</v>
      </c>
      <c r="K33" s="11" t="s">
        <v>1467</v>
      </c>
      <c r="M33" s="17">
        <f>IFERROR(
IF(
$A33="","",
(VLOOKUP($G33,'nuevos productoss'!$A:$E,4,0))
),$C33)</f>
        <v>6145.1080000000002</v>
      </c>
      <c r="N33" s="17">
        <f>IFERROR(
IF(
$A33="","",
(VLOOKUP($G33,'nuevos productoss'!$A:$E,5,0))
),$C33)</f>
        <v>5207.6760000000004</v>
      </c>
      <c r="O33" s="17">
        <f t="shared" si="2"/>
        <v>937.43199999999979</v>
      </c>
      <c r="R33"/>
    </row>
    <row r="34" spans="1:18" x14ac:dyDescent="0.3">
      <c r="A34" s="5" t="s">
        <v>1622</v>
      </c>
      <c r="B34" s="20">
        <v>15</v>
      </c>
      <c r="C34" s="21">
        <v>6773.0249999999996</v>
      </c>
      <c r="D34" s="18">
        <f t="shared" si="0"/>
        <v>6773.0249999999996</v>
      </c>
      <c r="E34" s="21">
        <f t="shared" si="1"/>
        <v>6434.3737499999997</v>
      </c>
      <c r="F34" s="18">
        <v>1</v>
      </c>
      <c r="G34" s="23" t="s">
        <v>45</v>
      </c>
      <c r="H34" s="22" t="s">
        <v>1046</v>
      </c>
      <c r="I34" s="22" t="s">
        <v>1050</v>
      </c>
      <c r="J34" s="22" t="s">
        <v>1093</v>
      </c>
      <c r="K34" s="11" t="s">
        <v>1467</v>
      </c>
      <c r="M34" s="17">
        <f>IFERROR(
IF(
$A34="","",
(VLOOKUP($G34,'nuevos productoss'!$A:$E,4,0))
),$C34)</f>
        <v>6650.5280000000002</v>
      </c>
      <c r="N34" s="17">
        <f>IFERROR(
IF(
$A34="","",
(VLOOKUP($G34,'nuevos productoss'!$A:$E,5,0))
),$C34)</f>
        <v>5635.9880000000003</v>
      </c>
      <c r="O34" s="17">
        <f t="shared" si="2"/>
        <v>1014.54</v>
      </c>
      <c r="R34"/>
    </row>
    <row r="35" spans="1:18" x14ac:dyDescent="0.3">
      <c r="A35" s="5" t="s">
        <v>1627</v>
      </c>
      <c r="B35" s="20">
        <v>15</v>
      </c>
      <c r="C35" s="21">
        <v>9753.1560000000009</v>
      </c>
      <c r="D35" s="18">
        <f t="shared" si="0"/>
        <v>9753.1560000000009</v>
      </c>
      <c r="E35" s="21">
        <f t="shared" si="1"/>
        <v>9265.4982</v>
      </c>
      <c r="F35" s="18">
        <v>1</v>
      </c>
      <c r="G35" s="23" t="s">
        <v>46</v>
      </c>
      <c r="H35" s="22" t="s">
        <v>1046</v>
      </c>
      <c r="I35" s="22" t="s">
        <v>1050</v>
      </c>
      <c r="J35" s="22" t="s">
        <v>1093</v>
      </c>
      <c r="K35" s="11" t="s">
        <v>1467</v>
      </c>
      <c r="M35" s="17">
        <f>IFERROR(
IF(
$A35="","",
(VLOOKUP($G35,'nuevos productoss'!$A:$E,4,0))
),$C35)</f>
        <v>9576.7839999999997</v>
      </c>
      <c r="N35" s="17">
        <f>IFERROR(
IF(
$A35="","",
(VLOOKUP($G35,'nuevos productoss'!$A:$E,5,0))
),$C35)</f>
        <v>8115.8760000000002</v>
      </c>
      <c r="O35" s="17">
        <f t="shared" si="2"/>
        <v>1460.9079999999994</v>
      </c>
      <c r="R35"/>
    </row>
    <row r="36" spans="1:18" x14ac:dyDescent="0.3">
      <c r="A36" s="5" t="s">
        <v>47</v>
      </c>
      <c r="B36" s="20">
        <v>15</v>
      </c>
      <c r="C36" s="21">
        <v>12733.287</v>
      </c>
      <c r="D36" s="18">
        <f t="shared" si="0"/>
        <v>12733.287</v>
      </c>
      <c r="E36" s="21">
        <f t="shared" si="1"/>
        <v>12096.622649999999</v>
      </c>
      <c r="F36" s="18">
        <v>1</v>
      </c>
      <c r="G36" s="23" t="s">
        <v>48</v>
      </c>
      <c r="H36" s="22" t="s">
        <v>1046</v>
      </c>
      <c r="I36" s="22" t="s">
        <v>1050</v>
      </c>
      <c r="J36" s="22" t="s">
        <v>1093</v>
      </c>
      <c r="K36" s="11" t="s">
        <v>1467</v>
      </c>
      <c r="M36" s="17">
        <f>IFERROR(
IF(
$A36="","",
(VLOOKUP($G36,'nuevos productoss'!$A:$E,4,0))
),$C36)</f>
        <v>12502.892</v>
      </c>
      <c r="N36" s="17">
        <f>IFERROR(
IF(
$A36="","",
(VLOOKUP($G36,'nuevos productoss'!$A:$E,5,0))
),$C36)</f>
        <v>10595.763999999999</v>
      </c>
      <c r="O36" s="17">
        <f t="shared" si="2"/>
        <v>1907.1280000000006</v>
      </c>
      <c r="R36"/>
    </row>
    <row r="37" spans="1:18" x14ac:dyDescent="0.3">
      <c r="A37" s="5" t="s">
        <v>49</v>
      </c>
      <c r="B37" s="20">
        <v>15</v>
      </c>
      <c r="C37" s="21">
        <v>18964.47</v>
      </c>
      <c r="D37" s="18">
        <f t="shared" si="0"/>
        <v>18964.47</v>
      </c>
      <c r="E37" s="21">
        <f t="shared" si="1"/>
        <v>18016.246500000001</v>
      </c>
      <c r="F37" s="18">
        <v>1</v>
      </c>
      <c r="G37" s="23" t="s">
        <v>50</v>
      </c>
      <c r="H37" s="22" t="s">
        <v>1046</v>
      </c>
      <c r="I37" s="22" t="s">
        <v>1050</v>
      </c>
      <c r="J37" s="22" t="s">
        <v>1093</v>
      </c>
      <c r="K37" s="11" t="s">
        <v>1467</v>
      </c>
      <c r="M37" s="17">
        <f>IFERROR(
IF(
$A37="","",
(VLOOKUP($G37,'nuevos productoss'!$A:$E,4,0))
),$C37)</f>
        <v>18621.36</v>
      </c>
      <c r="N37" s="17">
        <f>IFERROR(
IF(
$A37="","",
(VLOOKUP($G37,'nuevos productoss'!$A:$E,5,0))
),$C37)</f>
        <v>15780.796</v>
      </c>
      <c r="O37" s="17">
        <f t="shared" si="2"/>
        <v>2840.5640000000003</v>
      </c>
      <c r="R37"/>
    </row>
    <row r="38" spans="1:18" x14ac:dyDescent="0.3">
      <c r="A38" s="5" t="s">
        <v>51</v>
      </c>
      <c r="B38" s="20">
        <v>15</v>
      </c>
      <c r="C38" s="21">
        <v>24383.037</v>
      </c>
      <c r="D38" s="18">
        <f t="shared" si="0"/>
        <v>24383.037</v>
      </c>
      <c r="E38" s="21">
        <f t="shared" si="1"/>
        <v>23163.885149999998</v>
      </c>
      <c r="F38" s="18">
        <v>1</v>
      </c>
      <c r="G38" s="23" t="s">
        <v>52</v>
      </c>
      <c r="H38" s="22" t="s">
        <v>1046</v>
      </c>
      <c r="I38" s="22" t="s">
        <v>1050</v>
      </c>
      <c r="J38" s="22" t="s">
        <v>1093</v>
      </c>
      <c r="K38" s="11" t="s">
        <v>1467</v>
      </c>
      <c r="M38" s="17">
        <f>IFERROR(
IF(
$A38="","",
(VLOOKUP($G38,'nuevos productoss'!$A:$E,4,0))
),$C38)</f>
        <v>23941.812000000002</v>
      </c>
      <c r="N38" s="17">
        <f>IFERROR(
IF(
$A38="","",
(VLOOKUP($G38,'nuevos productoss'!$A:$E,5,0))
),$C38)</f>
        <v>20289.616000000002</v>
      </c>
      <c r="O38" s="17">
        <f t="shared" si="2"/>
        <v>3652.1959999999999</v>
      </c>
      <c r="R38"/>
    </row>
    <row r="39" spans="1:18" x14ac:dyDescent="0.3">
      <c r="A39" s="5" t="s">
        <v>53</v>
      </c>
      <c r="B39" s="20">
        <v>15</v>
      </c>
      <c r="C39" s="21">
        <v>32510.667000000001</v>
      </c>
      <c r="D39" s="18">
        <f t="shared" si="0"/>
        <v>32510.667000000001</v>
      </c>
      <c r="E39" s="21">
        <f t="shared" si="1"/>
        <v>30885.13365</v>
      </c>
      <c r="F39" s="18">
        <v>1</v>
      </c>
      <c r="G39" s="23" t="s">
        <v>54</v>
      </c>
      <c r="H39" s="22" t="s">
        <v>1046</v>
      </c>
      <c r="I39" s="22" t="s">
        <v>1050</v>
      </c>
      <c r="J39" s="22" t="s">
        <v>1093</v>
      </c>
      <c r="K39" s="11" t="s">
        <v>1467</v>
      </c>
      <c r="M39" s="17">
        <f>IFERROR(
IF(
$A39="","",
(VLOOKUP($G39,'nuevos productoss'!$A:$E,4,0))
),$C39)</f>
        <v>31922.416000000001</v>
      </c>
      <c r="N39" s="17">
        <f>IFERROR(
IF(
$A39="","",
(VLOOKUP($G39,'nuevos productoss'!$A:$E,5,0))
),$C39)</f>
        <v>27052.92</v>
      </c>
      <c r="O39" s="17">
        <f t="shared" si="2"/>
        <v>4869.4960000000028</v>
      </c>
      <c r="R39"/>
    </row>
    <row r="40" spans="1:18" x14ac:dyDescent="0.3">
      <c r="A40" s="5" t="s">
        <v>1640</v>
      </c>
      <c r="B40" s="20">
        <v>15</v>
      </c>
      <c r="C40" s="21">
        <v>5458.2569999999996</v>
      </c>
      <c r="D40" s="18">
        <f t="shared" si="0"/>
        <v>5458.2569999999996</v>
      </c>
      <c r="E40" s="21">
        <f t="shared" si="1"/>
        <v>5185.344149999999</v>
      </c>
      <c r="F40" s="18">
        <v>1</v>
      </c>
      <c r="G40" s="23" t="s">
        <v>55</v>
      </c>
      <c r="H40" s="22" t="s">
        <v>1046</v>
      </c>
      <c r="I40" s="22" t="s">
        <v>1050</v>
      </c>
      <c r="J40" s="22" t="s">
        <v>1094</v>
      </c>
      <c r="K40" s="11" t="s">
        <v>1467</v>
      </c>
      <c r="M40" s="17">
        <f>IFERROR(
IF(
$A40="","",
(VLOOKUP($G40,'nuevos productoss'!$A:$E,4,0))
),$C40)</f>
        <v>5359.5240000000003</v>
      </c>
      <c r="N40" s="17">
        <f>IFERROR(
IF(
$A40="","",
(VLOOKUP($G40,'nuevos productoss'!$A:$E,5,0))
),$C40)</f>
        <v>4541.9719999999998</v>
      </c>
      <c r="O40" s="17">
        <f t="shared" si="2"/>
        <v>817.55200000000059</v>
      </c>
      <c r="R40"/>
    </row>
    <row r="41" spans="1:18" x14ac:dyDescent="0.3">
      <c r="A41" s="5" t="s">
        <v>1569</v>
      </c>
      <c r="B41" s="20">
        <v>15</v>
      </c>
      <c r="C41" s="21">
        <v>8868.51</v>
      </c>
      <c r="D41" s="18">
        <f t="shared" si="0"/>
        <v>8868.51</v>
      </c>
      <c r="E41" s="21">
        <f t="shared" si="1"/>
        <v>8425.084499999999</v>
      </c>
      <c r="F41" s="18">
        <v>1</v>
      </c>
      <c r="G41" s="23" t="s">
        <v>56</v>
      </c>
      <c r="H41" s="22" t="s">
        <v>1046</v>
      </c>
      <c r="I41" s="22" t="s">
        <v>1050</v>
      </c>
      <c r="J41" s="22" t="s">
        <v>1095</v>
      </c>
      <c r="K41" s="11" t="s">
        <v>1467</v>
      </c>
      <c r="M41" s="17">
        <f>IFERROR(
IF(
$A41="","",
(VLOOKUP($G41,'nuevos productoss'!$A:$E,4,0))
),$C41)</f>
        <v>8706.2479999999996</v>
      </c>
      <c r="N41" s="17">
        <f>IFERROR(
IF(
$A41="","",
(VLOOKUP($G41,'nuevos productoss'!$A:$E,5,0))
),$C41)</f>
        <v>7378.0959999999995</v>
      </c>
      <c r="O41" s="17">
        <f t="shared" si="2"/>
        <v>1328.152</v>
      </c>
      <c r="R41"/>
    </row>
    <row r="42" spans="1:18" x14ac:dyDescent="0.3">
      <c r="A42" s="5" t="s">
        <v>57</v>
      </c>
      <c r="B42" s="20">
        <v>15</v>
      </c>
      <c r="C42" s="21">
        <v>2252.04</v>
      </c>
      <c r="D42" s="18">
        <f t="shared" si="0"/>
        <v>2252.04</v>
      </c>
      <c r="E42" s="21">
        <f t="shared" si="1"/>
        <v>2139.4379999999996</v>
      </c>
      <c r="F42" s="18">
        <v>1</v>
      </c>
      <c r="G42" s="23" t="s">
        <v>58</v>
      </c>
      <c r="H42" s="22" t="s">
        <v>1046</v>
      </c>
      <c r="I42" s="22" t="s">
        <v>1050</v>
      </c>
      <c r="J42" s="22" t="s">
        <v>1100</v>
      </c>
      <c r="K42" s="11" t="s">
        <v>1467</v>
      </c>
      <c r="M42" s="17">
        <f>IFERROR(
IF(
$A42="","",
(VLOOKUP($G42,'nuevos productoss'!$A:$E,4,0))
),$C42)</f>
        <v>2210.9720000000002</v>
      </c>
      <c r="N42" s="17">
        <f>IFERROR(
IF(
$A42="","",
(VLOOKUP($G42,'nuevos productoss'!$A:$E,5,0))
),$C42)</f>
        <v>1873.68</v>
      </c>
      <c r="O42" s="17">
        <f t="shared" si="2"/>
        <v>337.29200000000014</v>
      </c>
      <c r="R42"/>
    </row>
    <row r="43" spans="1:18" x14ac:dyDescent="0.3">
      <c r="A43" s="5" t="s">
        <v>59</v>
      </c>
      <c r="B43" s="20">
        <v>15</v>
      </c>
      <c r="C43" s="21">
        <v>5271.42</v>
      </c>
      <c r="D43" s="18">
        <f t="shared" si="0"/>
        <v>5271.42</v>
      </c>
      <c r="E43" s="21">
        <f t="shared" si="1"/>
        <v>5007.8490000000002</v>
      </c>
      <c r="F43" s="18">
        <v>1</v>
      </c>
      <c r="G43" s="23" t="s">
        <v>60</v>
      </c>
      <c r="H43" s="22" t="s">
        <v>1046</v>
      </c>
      <c r="I43" s="22" t="s">
        <v>1050</v>
      </c>
      <c r="J43" s="22" t="s">
        <v>1101</v>
      </c>
      <c r="K43" s="11" t="s">
        <v>1467</v>
      </c>
      <c r="M43" s="17">
        <f>IFERROR(
IF(
$A43="","",
(VLOOKUP($G43,'nuevos productoss'!$A:$E,4,0))
),$C43)</f>
        <v>5175.2640000000001</v>
      </c>
      <c r="N43" s="17">
        <f>IFERROR(
IF(
$A43="","",
(VLOOKUP($G43,'nuevos productoss'!$A:$E,5,0))
),$C43)</f>
        <v>4385.8320000000003</v>
      </c>
      <c r="O43" s="17">
        <f t="shared" si="2"/>
        <v>789.43199999999979</v>
      </c>
      <c r="R43"/>
    </row>
    <row r="44" spans="1:18" x14ac:dyDescent="0.3">
      <c r="A44" s="5" t="s">
        <v>61</v>
      </c>
      <c r="B44" s="20">
        <v>0</v>
      </c>
      <c r="C44" s="21">
        <v>2611.4549999999999</v>
      </c>
      <c r="D44" s="18">
        <f t="shared" si="0"/>
        <v>2611.4549999999999</v>
      </c>
      <c r="E44" s="21">
        <f t="shared" si="1"/>
        <v>2480.8822499999997</v>
      </c>
      <c r="F44" s="18">
        <v>1</v>
      </c>
      <c r="G44" s="23" t="s">
        <v>62</v>
      </c>
      <c r="H44" s="22" t="s">
        <v>1046</v>
      </c>
      <c r="I44" s="22" t="s">
        <v>1050</v>
      </c>
      <c r="J44" s="22" t="s">
        <v>1102</v>
      </c>
      <c r="K44" s="11" t="s">
        <v>1467</v>
      </c>
      <c r="M44" s="17">
        <f>IFERROR(
IF(
$A44="","",
(VLOOKUP($G44,'nuevos productoss'!$A:$E,4,0))
),$C44)</f>
        <v>2563.9520000000002</v>
      </c>
      <c r="N44" s="17">
        <f>IFERROR(
IF(
$A44="","",
(VLOOKUP($G44,'nuevos productoss'!$A:$E,5,0))
),$C44)</f>
        <v>2172.788</v>
      </c>
      <c r="O44" s="17">
        <f t="shared" si="2"/>
        <v>391.16400000000021</v>
      </c>
      <c r="R44"/>
    </row>
    <row r="45" spans="1:18" x14ac:dyDescent="0.3">
      <c r="A45" s="5" t="s">
        <v>63</v>
      </c>
      <c r="B45" s="20">
        <v>0</v>
      </c>
      <c r="C45" s="21">
        <v>3357.627</v>
      </c>
      <c r="D45" s="18">
        <f t="shared" si="0"/>
        <v>3357.627</v>
      </c>
      <c r="E45" s="21">
        <f t="shared" si="1"/>
        <v>3189.7456499999998</v>
      </c>
      <c r="F45" s="18">
        <v>1</v>
      </c>
      <c r="G45" s="23" t="s">
        <v>64</v>
      </c>
      <c r="H45" s="22" t="s">
        <v>1046</v>
      </c>
      <c r="I45" s="22" t="s">
        <v>1050</v>
      </c>
      <c r="J45" s="22" t="s">
        <v>1102</v>
      </c>
      <c r="K45" s="11" t="s">
        <v>1467</v>
      </c>
      <c r="M45" s="17">
        <f>IFERROR(
IF(
$A45="","",
(VLOOKUP($G45,'nuevos productoss'!$A:$E,4,0))
),$C45)</f>
        <v>3296.404</v>
      </c>
      <c r="N45" s="17">
        <f>IFERROR(
IF(
$A45="","",
(VLOOKUP($G45,'nuevos productoss'!$A:$E,5,0))
),$C45)</f>
        <v>2793.6480000000001</v>
      </c>
      <c r="O45" s="17">
        <f t="shared" si="2"/>
        <v>502.75599999999986</v>
      </c>
      <c r="R45"/>
    </row>
    <row r="46" spans="1:18" x14ac:dyDescent="0.3">
      <c r="A46" s="5" t="s">
        <v>65</v>
      </c>
      <c r="B46" s="20">
        <v>15</v>
      </c>
      <c r="C46" s="21">
        <v>5276.2709999999997</v>
      </c>
      <c r="D46" s="18">
        <f t="shared" si="0"/>
        <v>5276.2709999999997</v>
      </c>
      <c r="E46" s="21">
        <f t="shared" si="1"/>
        <v>5012.4574499999999</v>
      </c>
      <c r="F46" s="18">
        <v>1</v>
      </c>
      <c r="G46" s="23" t="s">
        <v>66</v>
      </c>
      <c r="H46" s="22" t="s">
        <v>1046</v>
      </c>
      <c r="I46" s="22" t="s">
        <v>1050</v>
      </c>
      <c r="J46" s="22" t="s">
        <v>1103</v>
      </c>
      <c r="K46" s="11" t="s">
        <v>1467</v>
      </c>
      <c r="M46" s="17">
        <f>IFERROR(
IF(
$A46="","",
(VLOOKUP($G46,'nuevos productoss'!$A:$E,4,0))
),$C46)</f>
        <v>5180.1480000000001</v>
      </c>
      <c r="N46" s="17">
        <f>IFERROR(
IF(
$A46="","",
(VLOOKUP($G46,'nuevos productoss'!$A:$E,5,0))
),$C46)</f>
        <v>4389.9759999999997</v>
      </c>
      <c r="O46" s="17">
        <f t="shared" si="2"/>
        <v>790.17200000000048</v>
      </c>
      <c r="R46"/>
    </row>
    <row r="47" spans="1:18" x14ac:dyDescent="0.3">
      <c r="A47" s="5" t="s">
        <v>67</v>
      </c>
      <c r="B47" s="20">
        <v>15</v>
      </c>
      <c r="C47" s="21">
        <v>6528.7110000000002</v>
      </c>
      <c r="D47" s="18">
        <f t="shared" si="0"/>
        <v>6528.7110000000002</v>
      </c>
      <c r="E47" s="21">
        <f t="shared" si="1"/>
        <v>6202.2754500000001</v>
      </c>
      <c r="F47" s="18">
        <v>1</v>
      </c>
      <c r="G47" s="23" t="s">
        <v>68</v>
      </c>
      <c r="H47" s="22" t="s">
        <v>1046</v>
      </c>
      <c r="I47" s="22" t="s">
        <v>1050</v>
      </c>
      <c r="J47" s="22" t="s">
        <v>1102</v>
      </c>
      <c r="K47" s="11" t="s">
        <v>1467</v>
      </c>
      <c r="M47" s="17">
        <f>IFERROR(
IF(
$A47="","",
(VLOOKUP($G47,'nuevos productoss'!$A:$E,4,0))
),$C47)</f>
        <v>6409.732</v>
      </c>
      <c r="N47" s="17">
        <f>IFERROR(
IF(
$A47="","",
(VLOOKUP($G47,'nuevos productoss'!$A:$E,5,0))
),$C47)</f>
        <v>5432.0439999999999</v>
      </c>
      <c r="O47" s="17">
        <f t="shared" si="2"/>
        <v>977.6880000000001</v>
      </c>
      <c r="R47"/>
    </row>
    <row r="48" spans="1:18" x14ac:dyDescent="0.3">
      <c r="A48" s="5" t="s">
        <v>69</v>
      </c>
      <c r="B48" s="20">
        <v>0</v>
      </c>
      <c r="C48" s="21">
        <v>15402.513000000001</v>
      </c>
      <c r="D48" s="18">
        <f t="shared" si="0"/>
        <v>15402.513000000001</v>
      </c>
      <c r="E48" s="21">
        <f t="shared" si="1"/>
        <v>14632.387350000001</v>
      </c>
      <c r="F48" s="18">
        <v>1</v>
      </c>
      <c r="G48" s="23" t="s">
        <v>70</v>
      </c>
      <c r="H48" s="22" t="s">
        <v>1046</v>
      </c>
      <c r="I48" s="22" t="s">
        <v>1050</v>
      </c>
      <c r="J48" s="22">
        <v>0</v>
      </c>
      <c r="K48" s="11" t="s">
        <v>1467</v>
      </c>
      <c r="M48" s="17">
        <f>IFERROR(
IF(
$A48="","",
(VLOOKUP($G48,'nuevos productoss'!$A:$E,4,0))
),$C48)</f>
        <v>15402.513000000001</v>
      </c>
      <c r="N48" s="17">
        <f>IFERROR(
IF(
$A48="","",
(VLOOKUP($G48,'nuevos productoss'!$A:$E,5,0))
),$C48)</f>
        <v>15402.513000000001</v>
      </c>
      <c r="O48" s="17">
        <f t="shared" si="2"/>
        <v>0</v>
      </c>
      <c r="R48"/>
    </row>
    <row r="49" spans="1:18" x14ac:dyDescent="0.3">
      <c r="A49" s="5" t="s">
        <v>71</v>
      </c>
      <c r="B49" s="20">
        <v>0</v>
      </c>
      <c r="C49" s="21">
        <v>10659.263999999999</v>
      </c>
      <c r="D49" s="18">
        <f t="shared" si="0"/>
        <v>10659.263999999999</v>
      </c>
      <c r="E49" s="21">
        <f t="shared" si="1"/>
        <v>10126.300799999999</v>
      </c>
      <c r="F49" s="18">
        <v>1</v>
      </c>
      <c r="G49" s="23" t="s">
        <v>70</v>
      </c>
      <c r="H49" s="22" t="s">
        <v>1046</v>
      </c>
      <c r="I49" s="22" t="s">
        <v>1050</v>
      </c>
      <c r="J49" s="22">
        <v>0</v>
      </c>
      <c r="K49" s="11" t="s">
        <v>1467</v>
      </c>
      <c r="M49" s="17">
        <f>IFERROR(
IF(
$A49="","",
(VLOOKUP($G49,'nuevos productoss'!$A:$E,4,0))
),$C49)</f>
        <v>10659.263999999999</v>
      </c>
      <c r="N49" s="17">
        <f>IFERROR(
IF(
$A49="","",
(VLOOKUP($G49,'nuevos productoss'!$A:$E,5,0))
),$C49)</f>
        <v>10659.263999999999</v>
      </c>
      <c r="O49" s="17">
        <f t="shared" si="2"/>
        <v>0</v>
      </c>
      <c r="R49"/>
    </row>
    <row r="50" spans="1:18" x14ac:dyDescent="0.3">
      <c r="A50" s="5" t="s">
        <v>72</v>
      </c>
      <c r="B50" s="20">
        <v>15</v>
      </c>
      <c r="C50" s="21">
        <v>6928.5510000000004</v>
      </c>
      <c r="D50" s="18">
        <f t="shared" si="0"/>
        <v>6928.5510000000004</v>
      </c>
      <c r="E50" s="21">
        <f t="shared" si="1"/>
        <v>6582.12345</v>
      </c>
      <c r="F50" s="18">
        <v>1</v>
      </c>
      <c r="G50" s="23" t="s">
        <v>73</v>
      </c>
      <c r="H50" s="22" t="s">
        <v>1046</v>
      </c>
      <c r="I50" s="22" t="s">
        <v>1050</v>
      </c>
      <c r="J50" s="22" t="s">
        <v>1105</v>
      </c>
      <c r="K50" s="11" t="s">
        <v>1467</v>
      </c>
      <c r="M50" s="17">
        <f>IFERROR(
IF(
$A50="","",
(VLOOKUP($G50,'nuevos productoss'!$A:$E,4,0))
),$C50)</f>
        <v>6802.2280000000001</v>
      </c>
      <c r="N50" s="17">
        <f>IFERROR(
IF(
$A50="","",
(VLOOKUP($G50,'nuevos productoss'!$A:$E,5,0))
),$C50)</f>
        <v>5764.6</v>
      </c>
      <c r="O50" s="17">
        <f t="shared" si="2"/>
        <v>1037.6279999999997</v>
      </c>
      <c r="R50"/>
    </row>
    <row r="51" spans="1:18" x14ac:dyDescent="0.3">
      <c r="A51" s="5" t="s">
        <v>74</v>
      </c>
      <c r="B51" s="20">
        <v>15</v>
      </c>
      <c r="C51" s="21">
        <v>499.65300000000002</v>
      </c>
      <c r="D51" s="18">
        <f t="shared" si="0"/>
        <v>499.65300000000002</v>
      </c>
      <c r="E51" s="21">
        <f t="shared" si="1"/>
        <v>474.67034999999998</v>
      </c>
      <c r="F51" s="18">
        <v>1</v>
      </c>
      <c r="G51" s="23" t="s">
        <v>75</v>
      </c>
      <c r="H51" s="22" t="s">
        <v>1046</v>
      </c>
      <c r="I51" s="22" t="s">
        <v>1050</v>
      </c>
      <c r="J51" s="22" t="s">
        <v>1089</v>
      </c>
      <c r="K51" s="11" t="s">
        <v>1467</v>
      </c>
      <c r="M51" s="17">
        <f>IFERROR(
IF(
$A51="","",
(VLOOKUP($G51,'nuevos productoss'!$A:$E,4,0))
),$C51)</f>
        <v>490.76799999999997</v>
      </c>
      <c r="N51" s="17">
        <f>IFERROR(
IF(
$A51="","",
(VLOOKUP($G51,'nuevos productoss'!$A:$E,5,0))
),$C51)</f>
        <v>415.88</v>
      </c>
      <c r="O51" s="17">
        <f t="shared" si="2"/>
        <v>74.887999999999977</v>
      </c>
      <c r="R51"/>
    </row>
    <row r="52" spans="1:18" x14ac:dyDescent="0.3">
      <c r="A52" s="5" t="s">
        <v>76</v>
      </c>
      <c r="B52" s="20">
        <v>15</v>
      </c>
      <c r="C52" s="21">
        <v>635.04</v>
      </c>
      <c r="D52" s="18">
        <f t="shared" si="0"/>
        <v>635.04</v>
      </c>
      <c r="E52" s="21">
        <f t="shared" si="1"/>
        <v>603.2879999999999</v>
      </c>
      <c r="F52" s="18">
        <v>1</v>
      </c>
      <c r="G52" s="23" t="s">
        <v>77</v>
      </c>
      <c r="H52" s="22" t="s">
        <v>1046</v>
      </c>
      <c r="I52" s="22" t="s">
        <v>1050</v>
      </c>
      <c r="J52" s="22" t="s">
        <v>1089</v>
      </c>
      <c r="K52" s="11" t="s">
        <v>1467</v>
      </c>
      <c r="M52" s="17">
        <f>IFERROR(
IF(
$A52="","",
(VLOOKUP($G52,'nuevos productoss'!$A:$E,4,0))
),$C52)</f>
        <v>623.96799999999996</v>
      </c>
      <c r="N52" s="17">
        <f>IFERROR(
IF(
$A52="","",
(VLOOKUP($G52,'nuevos productoss'!$A:$E,5,0))
),$C52)</f>
        <v>528.80399999999997</v>
      </c>
      <c r="O52" s="17">
        <f t="shared" si="2"/>
        <v>95.163999999999987</v>
      </c>
      <c r="R52"/>
    </row>
    <row r="53" spans="1:18" x14ac:dyDescent="0.3">
      <c r="A53" s="5" t="s">
        <v>78</v>
      </c>
      <c r="B53" s="20">
        <v>15</v>
      </c>
      <c r="C53" s="21">
        <v>15653.883</v>
      </c>
      <c r="D53" s="18">
        <f t="shared" si="0"/>
        <v>15653.883</v>
      </c>
      <c r="E53" s="21">
        <f t="shared" si="1"/>
        <v>14871.188849999999</v>
      </c>
      <c r="F53" s="18">
        <v>1</v>
      </c>
      <c r="G53" s="23" t="s">
        <v>79</v>
      </c>
      <c r="H53" s="22" t="s">
        <v>1046</v>
      </c>
      <c r="I53" s="22" t="s">
        <v>1050</v>
      </c>
      <c r="J53" s="22" t="s">
        <v>1106</v>
      </c>
      <c r="K53" s="11" t="s">
        <v>1467</v>
      </c>
      <c r="M53" s="17">
        <f>IFERROR(
IF(
$A53="","",
(VLOOKUP($G53,'nuevos productoss'!$A:$E,4,0))
),$C53)</f>
        <v>15368.616</v>
      </c>
      <c r="N53" s="17">
        <f>IFERROR(
IF(
$A53="","",
(VLOOKUP($G53,'nuevos productoss'!$A:$E,5,0))
),$C53)</f>
        <v>13024.147999999999</v>
      </c>
      <c r="O53" s="17">
        <f t="shared" si="2"/>
        <v>2344.4680000000008</v>
      </c>
      <c r="R53"/>
    </row>
    <row r="54" spans="1:18" x14ac:dyDescent="0.3">
      <c r="A54" s="5" t="s">
        <v>80</v>
      </c>
      <c r="B54" s="20">
        <v>15</v>
      </c>
      <c r="C54" s="21">
        <v>6662.04</v>
      </c>
      <c r="D54" s="18">
        <f t="shared" si="0"/>
        <v>6662.04</v>
      </c>
      <c r="E54" s="21">
        <f t="shared" si="1"/>
        <v>6328.9380000000001</v>
      </c>
      <c r="F54" s="18">
        <v>1</v>
      </c>
      <c r="G54" s="23" t="s">
        <v>81</v>
      </c>
      <c r="H54" s="22" t="s">
        <v>1046</v>
      </c>
      <c r="I54" s="22" t="s">
        <v>1050</v>
      </c>
      <c r="J54" s="22" t="s">
        <v>1107</v>
      </c>
      <c r="K54" s="11" t="s">
        <v>1467</v>
      </c>
      <c r="M54" s="17">
        <f>IFERROR(
IF(
$A54="","",
(VLOOKUP($G54,'nuevos productoss'!$A:$E,4,0))
),$C54)</f>
        <v>6540.5640000000003</v>
      </c>
      <c r="N54" s="17">
        <f>IFERROR(
IF(
$A54="","",
(VLOOKUP($G54,'nuevos productoss'!$A:$E,5,0))
),$C54)</f>
        <v>5542.8959999999997</v>
      </c>
      <c r="O54" s="17">
        <f t="shared" si="2"/>
        <v>997.66800000000057</v>
      </c>
      <c r="R54"/>
    </row>
    <row r="55" spans="1:18" x14ac:dyDescent="0.3">
      <c r="A55" s="5" t="s">
        <v>82</v>
      </c>
      <c r="B55" s="20">
        <v>15</v>
      </c>
      <c r="C55" s="21">
        <v>5915.8680000000004</v>
      </c>
      <c r="D55" s="18">
        <f t="shared" si="0"/>
        <v>5915.8680000000004</v>
      </c>
      <c r="E55" s="21">
        <f t="shared" si="1"/>
        <v>5620.0745999999999</v>
      </c>
      <c r="F55" s="18">
        <v>1</v>
      </c>
      <c r="G55" s="23" t="s">
        <v>83</v>
      </c>
      <c r="H55" s="22" t="s">
        <v>1046</v>
      </c>
      <c r="I55" s="22" t="s">
        <v>1050</v>
      </c>
      <c r="J55" s="22" t="s">
        <v>1108</v>
      </c>
      <c r="K55" s="11" t="s">
        <v>1467</v>
      </c>
      <c r="M55" s="17">
        <f>IFERROR(
IF(
$A55="","",
(VLOOKUP($G55,'nuevos productoss'!$A:$E,4,0))
),$C55)</f>
        <v>5807.9639999999999</v>
      </c>
      <c r="N55" s="17">
        <f>IFERROR(
IF(
$A55="","",
(VLOOKUP($G55,'nuevos productoss'!$A:$E,5,0))
),$C55)</f>
        <v>4922.0360000000001</v>
      </c>
      <c r="O55" s="17">
        <f t="shared" si="2"/>
        <v>885.92799999999988</v>
      </c>
      <c r="R55"/>
    </row>
    <row r="56" spans="1:18" x14ac:dyDescent="0.3">
      <c r="A56" s="5" t="s">
        <v>84</v>
      </c>
      <c r="B56" s="20">
        <v>360</v>
      </c>
      <c r="C56" s="21">
        <v>34065.044999999998</v>
      </c>
      <c r="D56" s="18">
        <f t="shared" si="0"/>
        <v>34065.044999999998</v>
      </c>
      <c r="E56" s="21">
        <f t="shared" si="1"/>
        <v>32361.792749999997</v>
      </c>
      <c r="F56" s="18">
        <v>1</v>
      </c>
      <c r="G56" s="23" t="s">
        <v>85</v>
      </c>
      <c r="H56" s="22" t="s">
        <v>1058</v>
      </c>
      <c r="I56" s="22" t="s">
        <v>1061</v>
      </c>
      <c r="J56" s="22" t="s">
        <v>1109</v>
      </c>
      <c r="K56" s="11" t="s">
        <v>1467</v>
      </c>
      <c r="M56" s="17">
        <f>IFERROR(
IF(
$A56="","",
(VLOOKUP($G56,'nuevos productoss'!$A:$E,4,0))
),$C56)</f>
        <v>33439.415999999997</v>
      </c>
      <c r="N56" s="17">
        <f>IFERROR(
IF(
$A56="","",
(VLOOKUP($G56,'nuevos productoss'!$A:$E,5,0))
),$C56)</f>
        <v>28338.448</v>
      </c>
      <c r="O56" s="17">
        <f t="shared" si="2"/>
        <v>5100.9679999999971</v>
      </c>
      <c r="R56"/>
    </row>
    <row r="57" spans="1:18" x14ac:dyDescent="0.3">
      <c r="A57" s="5" t="s">
        <v>86</v>
      </c>
      <c r="B57" s="20">
        <v>360</v>
      </c>
      <c r="C57" s="21">
        <v>38861.802000000003</v>
      </c>
      <c r="D57" s="18">
        <f t="shared" si="0"/>
        <v>38861.802000000003</v>
      </c>
      <c r="E57" s="21">
        <f t="shared" si="1"/>
        <v>36918.711900000002</v>
      </c>
      <c r="F57" s="18">
        <v>1</v>
      </c>
      <c r="G57" s="23" t="s">
        <v>87</v>
      </c>
      <c r="H57" s="22" t="s">
        <v>1058</v>
      </c>
      <c r="I57" s="22" t="s">
        <v>1061</v>
      </c>
      <c r="J57" s="22" t="s">
        <v>1110</v>
      </c>
      <c r="K57" s="11" t="s">
        <v>1467</v>
      </c>
      <c r="M57" s="17">
        <f>IFERROR(
IF(
$A57="","",
(VLOOKUP($G57,'nuevos productoss'!$A:$E,4,0))
),$C57)</f>
        <v>38150.699999999997</v>
      </c>
      <c r="N57" s="17">
        <f>IFERROR(
IF(
$A57="","",
(VLOOKUP($G57,'nuevos productoss'!$A:$E,5,0))
),$C57)</f>
        <v>32331.044000000002</v>
      </c>
      <c r="O57" s="17">
        <f t="shared" si="2"/>
        <v>5819.6559999999954</v>
      </c>
      <c r="R57"/>
    </row>
    <row r="58" spans="1:18" x14ac:dyDescent="0.3">
      <c r="B58" s="20"/>
      <c r="C58" s="21"/>
      <c r="D58" s="18">
        <f t="shared" si="0"/>
        <v>0</v>
      </c>
      <c r="E58" s="21" t="str">
        <f t="shared" si="1"/>
        <v/>
      </c>
      <c r="F58" s="18"/>
      <c r="G58" s="5"/>
      <c r="H58" s="22" t="s">
        <v>1865</v>
      </c>
      <c r="I58" s="22" t="s">
        <v>1865</v>
      </c>
      <c r="J58" s="22" t="s">
        <v>1865</v>
      </c>
      <c r="K58" s="11" t="s">
        <v>1467</v>
      </c>
      <c r="M58" s="17" t="str">
        <f>IFERROR(
IF(
$A58="","",
(VLOOKUP($G58,'nuevos productoss'!$A:$E,4,0))
),$C58)</f>
        <v/>
      </c>
      <c r="N58" s="17" t="str">
        <f>IFERROR(
IF(
$A58="","",
(VLOOKUP($G58,'nuevos productoss'!$A:$E,5,0))
),$C58)</f>
        <v/>
      </c>
      <c r="O58" s="17">
        <f t="shared" si="2"/>
        <v>0</v>
      </c>
      <c r="R58"/>
    </row>
    <row r="59" spans="1:18" x14ac:dyDescent="0.3">
      <c r="A59" s="5" t="s">
        <v>88</v>
      </c>
      <c r="B59" s="20">
        <v>360</v>
      </c>
      <c r="C59" s="21">
        <v>71417.451000000001</v>
      </c>
      <c r="D59" s="18">
        <f t="shared" si="0"/>
        <v>71417.451000000001</v>
      </c>
      <c r="E59" s="21">
        <f t="shared" si="1"/>
        <v>67846.578450000001</v>
      </c>
      <c r="F59" s="18">
        <v>1</v>
      </c>
      <c r="G59" s="23" t="s">
        <v>89</v>
      </c>
      <c r="H59" s="22" t="s">
        <v>1058</v>
      </c>
      <c r="I59" s="22" t="s">
        <v>1061</v>
      </c>
      <c r="J59" s="22" t="s">
        <v>1111</v>
      </c>
      <c r="K59" s="11" t="s">
        <v>1467</v>
      </c>
      <c r="M59" s="17">
        <f>IFERROR(
IF(
$A59="","",
(VLOOKUP($G59,'nuevos productoss'!$A:$E,4,0))
),$C59)</f>
        <v>66407.156000000003</v>
      </c>
      <c r="N59" s="17">
        <f>IFERROR(
IF(
$A59="","",
(VLOOKUP($G59,'nuevos productoss'!$A:$E,5,0))
),$C59)</f>
        <v>56277.296000000002</v>
      </c>
      <c r="O59" s="17">
        <f t="shared" si="2"/>
        <v>10129.86</v>
      </c>
      <c r="R59"/>
    </row>
    <row r="60" spans="1:18" x14ac:dyDescent="0.3">
      <c r="A60" s="5" t="s">
        <v>90</v>
      </c>
      <c r="B60" s="20">
        <v>15</v>
      </c>
      <c r="C60" s="21">
        <v>40136.586000000003</v>
      </c>
      <c r="D60" s="18">
        <f t="shared" si="0"/>
        <v>40136.586000000003</v>
      </c>
      <c r="E60" s="21">
        <f t="shared" si="1"/>
        <v>38129.756699999998</v>
      </c>
      <c r="F60" s="18">
        <v>1</v>
      </c>
      <c r="G60" s="23" t="s">
        <v>91</v>
      </c>
      <c r="H60" s="22" t="s">
        <v>1033</v>
      </c>
      <c r="I60" s="22" t="s">
        <v>1035</v>
      </c>
      <c r="J60" s="22" t="s">
        <v>1112</v>
      </c>
      <c r="K60" s="11" t="s">
        <v>1467</v>
      </c>
      <c r="M60" s="17">
        <f>IFERROR(
IF(
$A60="","",
(VLOOKUP($G60,'nuevos productoss'!$A:$E,4,0))
),$C60)</f>
        <v>39410.476000000002</v>
      </c>
      <c r="N60" s="17">
        <f>IFERROR(
IF(
$A60="","",
(VLOOKUP($G60,'nuevos productoss'!$A:$E,5,0))
),$C60)</f>
        <v>33398.716</v>
      </c>
      <c r="O60" s="17">
        <f t="shared" si="2"/>
        <v>6011.760000000002</v>
      </c>
      <c r="R60"/>
    </row>
    <row r="61" spans="1:18" x14ac:dyDescent="0.3">
      <c r="A61" s="5" t="s">
        <v>92</v>
      </c>
      <c r="B61" s="20">
        <v>15</v>
      </c>
      <c r="C61" s="21">
        <v>33965.232000000004</v>
      </c>
      <c r="D61" s="18">
        <f t="shared" si="0"/>
        <v>33965.232000000004</v>
      </c>
      <c r="E61" s="21">
        <f t="shared" si="1"/>
        <v>32266.970400000002</v>
      </c>
      <c r="F61" s="18">
        <v>1</v>
      </c>
      <c r="G61" s="23" t="s">
        <v>93</v>
      </c>
      <c r="H61" s="22" t="s">
        <v>1033</v>
      </c>
      <c r="I61" s="22" t="s">
        <v>1035</v>
      </c>
      <c r="J61" s="22" t="s">
        <v>1113</v>
      </c>
      <c r="K61" s="11" t="s">
        <v>1467</v>
      </c>
      <c r="M61" s="17">
        <f>IFERROR(
IF(
$A61="","",
(VLOOKUP($G61,'nuevos productoss'!$A:$E,4,0))
),$C61)</f>
        <v>33373.408000000003</v>
      </c>
      <c r="N61" s="17">
        <f>IFERROR(
IF(
$A61="","",
(VLOOKUP($G61,'nuevos productoss'!$A:$E,5,0))
),$C61)</f>
        <v>28282.651999999998</v>
      </c>
      <c r="O61" s="17">
        <f t="shared" si="2"/>
        <v>5090.7560000000049</v>
      </c>
      <c r="R61"/>
    </row>
    <row r="62" spans="1:18" x14ac:dyDescent="0.3">
      <c r="A62" s="5" t="s">
        <v>94</v>
      </c>
      <c r="B62" s="20">
        <v>15</v>
      </c>
      <c r="C62" s="21">
        <v>37804.724999999999</v>
      </c>
      <c r="D62" s="18">
        <f t="shared" si="0"/>
        <v>37804.724999999999</v>
      </c>
      <c r="E62" s="21">
        <f t="shared" si="1"/>
        <v>35914.488749999997</v>
      </c>
      <c r="F62" s="18">
        <v>1</v>
      </c>
      <c r="G62" s="23" t="s">
        <v>95</v>
      </c>
      <c r="H62" s="22" t="s">
        <v>1033</v>
      </c>
      <c r="I62" s="22" t="s">
        <v>1035</v>
      </c>
      <c r="J62" s="22" t="s">
        <v>1114</v>
      </c>
      <c r="K62" s="11" t="s">
        <v>1467</v>
      </c>
      <c r="M62" s="17">
        <f>IFERROR(
IF(
$A62="","",
(VLOOKUP($G62,'nuevos productoss'!$A:$E,4,0))
),$C62)</f>
        <v>37146.076000000001</v>
      </c>
      <c r="N62" s="17">
        <f>IFERROR(
IF(
$A62="","",
(VLOOKUP($G62,'nuevos productoss'!$A:$E,5,0))
),$C62)</f>
        <v>31479.748</v>
      </c>
      <c r="O62" s="17">
        <f t="shared" si="2"/>
        <v>5666.3280000000013</v>
      </c>
    </row>
    <row r="63" spans="1:18" x14ac:dyDescent="0.3">
      <c r="A63" s="5" t="s">
        <v>96</v>
      </c>
      <c r="B63" s="20">
        <v>15</v>
      </c>
      <c r="C63" s="21">
        <v>43129.506000000001</v>
      </c>
      <c r="D63" s="18">
        <f t="shared" si="0"/>
        <v>43129.506000000001</v>
      </c>
      <c r="E63" s="21">
        <f t="shared" si="1"/>
        <v>40973.030699999996</v>
      </c>
      <c r="F63" s="18">
        <v>1</v>
      </c>
      <c r="G63" s="23" t="s">
        <v>97</v>
      </c>
      <c r="H63" s="22" t="s">
        <v>1033</v>
      </c>
      <c r="I63" s="22" t="s">
        <v>1035</v>
      </c>
      <c r="J63" s="22" t="s">
        <v>1115</v>
      </c>
      <c r="K63" s="11" t="s">
        <v>1467</v>
      </c>
      <c r="M63" s="17">
        <f>IFERROR(
IF(
$A63="","",
(VLOOKUP($G63,'nuevos productoss'!$A:$E,4,0))
),$C63)</f>
        <v>42343.243999999999</v>
      </c>
      <c r="N63" s="17">
        <f>IFERROR(
IF(
$A63="","",
(VLOOKUP($G63,'nuevos productoss'!$A:$E,5,0))
),$C63)</f>
        <v>35884.228000000003</v>
      </c>
      <c r="O63" s="17">
        <f t="shared" si="2"/>
        <v>6459.015999999996</v>
      </c>
    </row>
    <row r="64" spans="1:18" x14ac:dyDescent="0.3">
      <c r="A64" s="5" t="s">
        <v>98</v>
      </c>
      <c r="B64" s="20">
        <v>15</v>
      </c>
      <c r="C64" s="21">
        <v>48156.464999999997</v>
      </c>
      <c r="D64" s="18">
        <f t="shared" si="0"/>
        <v>48156.464999999997</v>
      </c>
      <c r="E64" s="21">
        <f t="shared" si="1"/>
        <v>45748.641749999995</v>
      </c>
      <c r="F64" s="18">
        <v>1</v>
      </c>
      <c r="G64" s="23" t="s">
        <v>99</v>
      </c>
      <c r="H64" s="22" t="s">
        <v>1033</v>
      </c>
      <c r="I64" s="22" t="s">
        <v>1035</v>
      </c>
      <c r="J64" s="22" t="s">
        <v>1116</v>
      </c>
      <c r="K64" s="11" t="s">
        <v>1467</v>
      </c>
      <c r="M64" s="17">
        <f>IFERROR(
IF(
$A64="","",
(VLOOKUP($G64,'nuevos productoss'!$A:$E,4,0))
),$C64)</f>
        <v>47278.748</v>
      </c>
      <c r="N64" s="17">
        <f>IFERROR(
IF(
$A64="","",
(VLOOKUP($G64,'nuevos productoss'!$A:$E,5,0))
),$C64)</f>
        <v>40066.707999999999</v>
      </c>
      <c r="O64" s="17">
        <f t="shared" si="2"/>
        <v>7212.0400000000009</v>
      </c>
    </row>
    <row r="65" spans="1:15" x14ac:dyDescent="0.3">
      <c r="A65" s="5" t="s">
        <v>100</v>
      </c>
      <c r="B65" s="20">
        <v>15</v>
      </c>
      <c r="C65" s="21">
        <v>43129.506000000001</v>
      </c>
      <c r="D65" s="18">
        <f t="shared" si="0"/>
        <v>43129.506000000001</v>
      </c>
      <c r="E65" s="21">
        <f t="shared" si="1"/>
        <v>40973.030699999996</v>
      </c>
      <c r="F65" s="18">
        <v>1</v>
      </c>
      <c r="G65" s="23" t="s">
        <v>101</v>
      </c>
      <c r="H65" s="22" t="s">
        <v>1033</v>
      </c>
      <c r="I65" s="22" t="s">
        <v>1035</v>
      </c>
      <c r="J65" s="22" t="s">
        <v>1117</v>
      </c>
      <c r="K65" s="11" t="s">
        <v>1467</v>
      </c>
      <c r="M65" s="17">
        <f>IFERROR(
IF(
$A65="","",
(VLOOKUP($G65,'nuevos productoss'!$A:$E,4,0))
),$C65)</f>
        <v>42343.243999999999</v>
      </c>
      <c r="N65" s="17">
        <f>IFERROR(
IF(
$A65="","",
(VLOOKUP($G65,'nuevos productoss'!$A:$E,5,0))
),$C65)</f>
        <v>35884.228000000003</v>
      </c>
      <c r="O65" s="17">
        <f t="shared" si="2"/>
        <v>6459.015999999996</v>
      </c>
    </row>
    <row r="66" spans="1:15" x14ac:dyDescent="0.3">
      <c r="A66" s="5" t="s">
        <v>102</v>
      </c>
      <c r="B66" s="20">
        <v>15</v>
      </c>
      <c r="C66" s="21">
        <v>43129.506000000001</v>
      </c>
      <c r="D66" s="18">
        <f t="shared" si="0"/>
        <v>43129.506000000001</v>
      </c>
      <c r="E66" s="21">
        <f t="shared" si="1"/>
        <v>40973.030699999996</v>
      </c>
      <c r="F66" s="18">
        <v>1</v>
      </c>
      <c r="G66" s="23" t="s">
        <v>103</v>
      </c>
      <c r="H66" s="22" t="s">
        <v>1033</v>
      </c>
      <c r="I66" s="22" t="s">
        <v>1035</v>
      </c>
      <c r="J66" s="22" t="s">
        <v>1118</v>
      </c>
      <c r="K66" s="11" t="s">
        <v>1467</v>
      </c>
      <c r="M66" s="17">
        <f>IFERROR(
IF(
$A66="","",
(VLOOKUP($G66,'nuevos productoss'!$A:$E,4,0))
),$C66)</f>
        <v>42343.243999999999</v>
      </c>
      <c r="N66" s="17">
        <f>IFERROR(
IF(
$A66="","",
(VLOOKUP($G66,'nuevos productoss'!$A:$E,5,0))
),$C66)</f>
        <v>35884.228000000003</v>
      </c>
      <c r="O66" s="17">
        <f t="shared" si="2"/>
        <v>6459.015999999996</v>
      </c>
    </row>
    <row r="67" spans="1:15" x14ac:dyDescent="0.3">
      <c r="A67" s="5" t="s">
        <v>104</v>
      </c>
      <c r="B67" s="20">
        <v>15</v>
      </c>
      <c r="C67" s="21">
        <v>47809.692000000003</v>
      </c>
      <c r="D67" s="18">
        <f t="shared" ref="D67:D130" si="3">+C67</f>
        <v>47809.692000000003</v>
      </c>
      <c r="E67" s="21">
        <f t="shared" ref="E67:E130" si="4">IF(
A67="","",
C67*0.95)</f>
        <v>45419.207399999999</v>
      </c>
      <c r="F67" s="18">
        <v>1</v>
      </c>
      <c r="G67" s="23" t="s">
        <v>105</v>
      </c>
      <c r="H67" s="22" t="s">
        <v>1033</v>
      </c>
      <c r="I67" s="22" t="s">
        <v>1035</v>
      </c>
      <c r="J67" s="22" t="s">
        <v>1119</v>
      </c>
      <c r="K67" s="11" t="s">
        <v>1467</v>
      </c>
      <c r="M67" s="17">
        <f>IFERROR(
IF(
$A67="","",
(VLOOKUP($G67,'nuevos productoss'!$A:$E,4,0))
),$C67)</f>
        <v>46938.347999999998</v>
      </c>
      <c r="N67" s="17">
        <f>IFERROR(
IF(
$A67="","",
(VLOOKUP($G67,'nuevos productoss'!$A:$E,5,0))
),$C67)</f>
        <v>39778.256000000001</v>
      </c>
      <c r="O67" s="17">
        <f t="shared" ref="O67:O130" si="5">IFERROR(M67-N67,0)</f>
        <v>7160.0919999999969</v>
      </c>
    </row>
    <row r="68" spans="1:15" x14ac:dyDescent="0.3">
      <c r="A68" s="5" t="s">
        <v>106</v>
      </c>
      <c r="B68" s="20">
        <v>15</v>
      </c>
      <c r="C68" s="21">
        <v>53492.124000000003</v>
      </c>
      <c r="D68" s="18">
        <f t="shared" si="3"/>
        <v>53492.124000000003</v>
      </c>
      <c r="E68" s="21">
        <f t="shared" si="4"/>
        <v>50817.517800000001</v>
      </c>
      <c r="F68" s="18">
        <v>1</v>
      </c>
      <c r="G68" s="23" t="s">
        <v>107</v>
      </c>
      <c r="H68" s="22" t="s">
        <v>1033</v>
      </c>
      <c r="I68" s="22" t="s">
        <v>1035</v>
      </c>
      <c r="J68" s="22" t="s">
        <v>1120</v>
      </c>
      <c r="K68" s="11" t="s">
        <v>1467</v>
      </c>
      <c r="M68" s="17">
        <f>IFERROR(
IF(
$A68="","",
(VLOOKUP($G68,'nuevos productoss'!$A:$E,4,0))
),$C68)</f>
        <v>52053.08</v>
      </c>
      <c r="N68" s="17">
        <f>IFERROR(
IF(
$A68="","",
(VLOOKUP($G68,'nuevos productoss'!$A:$E,5,0))
),$C68)</f>
        <v>44112.732000000004</v>
      </c>
      <c r="O68" s="17">
        <f t="shared" si="5"/>
        <v>7940.3479999999981</v>
      </c>
    </row>
    <row r="69" spans="1:15" x14ac:dyDescent="0.3">
      <c r="A69" s="5" t="s">
        <v>108</v>
      </c>
      <c r="B69" s="20">
        <v>15</v>
      </c>
      <c r="C69" s="21">
        <v>48156.464999999997</v>
      </c>
      <c r="D69" s="18">
        <f t="shared" si="3"/>
        <v>48156.464999999997</v>
      </c>
      <c r="E69" s="21">
        <f t="shared" si="4"/>
        <v>45748.641749999995</v>
      </c>
      <c r="F69" s="18">
        <v>1</v>
      </c>
      <c r="G69" s="23" t="s">
        <v>109</v>
      </c>
      <c r="H69" s="22" t="s">
        <v>1033</v>
      </c>
      <c r="I69" s="22" t="s">
        <v>1035</v>
      </c>
      <c r="J69" s="22" t="s">
        <v>1121</v>
      </c>
      <c r="K69" s="11" t="s">
        <v>1467</v>
      </c>
      <c r="M69" s="17">
        <f>IFERROR(
IF(
$A69="","",
(VLOOKUP($G69,'nuevos productoss'!$A:$E,4,0))
),$C69)</f>
        <v>47278.748</v>
      </c>
      <c r="N69" s="17">
        <f>IFERROR(
IF(
$A69="","",
(VLOOKUP($G69,'nuevos productoss'!$A:$E,5,0))
),$C69)</f>
        <v>40066.707999999999</v>
      </c>
      <c r="O69" s="17">
        <f t="shared" si="5"/>
        <v>7212.0400000000009</v>
      </c>
    </row>
    <row r="70" spans="1:15" x14ac:dyDescent="0.3">
      <c r="A70" s="5" t="s">
        <v>110</v>
      </c>
      <c r="B70" s="20">
        <v>15</v>
      </c>
      <c r="C70" s="21">
        <v>48156.464999999997</v>
      </c>
      <c r="D70" s="18">
        <f t="shared" si="3"/>
        <v>48156.464999999997</v>
      </c>
      <c r="E70" s="21">
        <f t="shared" si="4"/>
        <v>45748.641749999995</v>
      </c>
      <c r="F70" s="18">
        <v>1</v>
      </c>
      <c r="G70" s="23" t="s">
        <v>111</v>
      </c>
      <c r="H70" s="22" t="s">
        <v>1033</v>
      </c>
      <c r="I70" s="22" t="s">
        <v>1035</v>
      </c>
      <c r="J70" s="22" t="s">
        <v>1122</v>
      </c>
      <c r="K70" s="11" t="s">
        <v>1467</v>
      </c>
      <c r="M70" s="17">
        <f>IFERROR(
IF(
$A70="","",
(VLOOKUP($G70,'nuevos productoss'!$A:$E,4,0))
),$C70)</f>
        <v>47278.748</v>
      </c>
      <c r="N70" s="17">
        <f>IFERROR(
IF(
$A70="","",
(VLOOKUP($G70,'nuevos productoss'!$A:$E,5,0))
),$C70)</f>
        <v>40066.707999999999</v>
      </c>
      <c r="O70" s="17">
        <f t="shared" si="5"/>
        <v>7212.0400000000009</v>
      </c>
    </row>
    <row r="71" spans="1:15" x14ac:dyDescent="0.3">
      <c r="A71" s="5" t="s">
        <v>112</v>
      </c>
      <c r="B71" s="20">
        <v>15</v>
      </c>
      <c r="C71" s="21">
        <v>44036.349000000002</v>
      </c>
      <c r="D71" s="18">
        <f t="shared" si="3"/>
        <v>44036.349000000002</v>
      </c>
      <c r="E71" s="21">
        <f t="shared" si="4"/>
        <v>41834.53155</v>
      </c>
      <c r="F71" s="18">
        <v>1</v>
      </c>
      <c r="G71" s="23" t="s">
        <v>113</v>
      </c>
      <c r="H71" s="22" t="s">
        <v>1033</v>
      </c>
      <c r="I71" s="22" t="s">
        <v>1035</v>
      </c>
      <c r="J71" s="22" t="s">
        <v>1123</v>
      </c>
      <c r="K71" s="11" t="s">
        <v>1467</v>
      </c>
      <c r="M71" s="17">
        <f>IFERROR(
IF(
$A71="","",
(VLOOKUP($G71,'nuevos productoss'!$A:$E,4,0))
),$C71)</f>
        <v>43230.652000000002</v>
      </c>
      <c r="N71" s="17">
        <f>IFERROR(
IF(
$A71="","",
(VLOOKUP($G71,'nuevos productoss'!$A:$E,5,0))
),$C71)</f>
        <v>36636.216</v>
      </c>
      <c r="O71" s="17">
        <f t="shared" si="5"/>
        <v>6594.4360000000015</v>
      </c>
    </row>
    <row r="72" spans="1:15" x14ac:dyDescent="0.3">
      <c r="A72" s="5" t="s">
        <v>114</v>
      </c>
      <c r="B72" s="20">
        <v>15</v>
      </c>
      <c r="C72" s="21">
        <v>35219.877</v>
      </c>
      <c r="D72" s="18">
        <f t="shared" si="3"/>
        <v>35219.877</v>
      </c>
      <c r="E72" s="21">
        <f t="shared" si="4"/>
        <v>33458.883150000001</v>
      </c>
      <c r="F72" s="18">
        <v>1</v>
      </c>
      <c r="G72" s="23" t="s">
        <v>115</v>
      </c>
      <c r="H72" s="22" t="s">
        <v>1033</v>
      </c>
      <c r="I72" s="22" t="s">
        <v>1035</v>
      </c>
      <c r="J72" s="22" t="s">
        <v>1124</v>
      </c>
      <c r="K72" s="11" t="s">
        <v>1467</v>
      </c>
      <c r="M72" s="17">
        <f>IFERROR(
IF(
$A72="","",
(VLOOKUP($G72,'nuevos productoss'!$A:$E,4,0))
),$C72)</f>
        <v>34582.567999999999</v>
      </c>
      <c r="N72" s="17">
        <f>IFERROR(
IF(
$A72="","",
(VLOOKUP($G72,'nuevos productoss'!$A:$E,5,0))
),$C72)</f>
        <v>29307.256000000001</v>
      </c>
      <c r="O72" s="17">
        <f t="shared" si="5"/>
        <v>5275.3119999999981</v>
      </c>
    </row>
    <row r="73" spans="1:15" x14ac:dyDescent="0.3">
      <c r="A73" s="5" t="s">
        <v>116</v>
      </c>
      <c r="B73" s="20">
        <v>90</v>
      </c>
      <c r="C73" s="21">
        <v>35219.877</v>
      </c>
      <c r="D73" s="18">
        <f t="shared" si="3"/>
        <v>35219.877</v>
      </c>
      <c r="E73" s="21">
        <f t="shared" si="4"/>
        <v>33458.883150000001</v>
      </c>
      <c r="F73" s="18">
        <v>1</v>
      </c>
      <c r="G73" s="23" t="s">
        <v>117</v>
      </c>
      <c r="H73" s="22" t="s">
        <v>1033</v>
      </c>
      <c r="I73" s="22" t="s">
        <v>1035</v>
      </c>
      <c r="J73" s="22" t="s">
        <v>1125</v>
      </c>
      <c r="K73" s="11" t="s">
        <v>1467</v>
      </c>
      <c r="M73" s="17">
        <f>IFERROR(
IF(
$A73="","",
(VLOOKUP($G73,'nuevos productoss'!$A:$E,4,0))
),$C73)</f>
        <v>34582.567999999999</v>
      </c>
      <c r="N73" s="17">
        <f>IFERROR(
IF(
$A73="","",
(VLOOKUP($G73,'nuevos productoss'!$A:$E,5,0))
),$C73)</f>
        <v>29307.256000000001</v>
      </c>
      <c r="O73" s="17">
        <f t="shared" si="5"/>
        <v>5275.3119999999981</v>
      </c>
    </row>
    <row r="74" spans="1:15" x14ac:dyDescent="0.3">
      <c r="A74" s="5" t="s">
        <v>118</v>
      </c>
      <c r="B74" s="20">
        <v>15</v>
      </c>
      <c r="C74" s="21">
        <v>13324.08</v>
      </c>
      <c r="D74" s="18">
        <f t="shared" si="3"/>
        <v>13324.08</v>
      </c>
      <c r="E74" s="21">
        <f t="shared" si="4"/>
        <v>12657.876</v>
      </c>
      <c r="F74" s="18">
        <v>1</v>
      </c>
      <c r="G74" s="23" t="s">
        <v>119</v>
      </c>
      <c r="H74" s="22" t="s">
        <v>1033</v>
      </c>
      <c r="I74" s="22" t="s">
        <v>1034</v>
      </c>
      <c r="J74" s="22" t="s">
        <v>1126</v>
      </c>
      <c r="K74" s="11" t="s">
        <v>1467</v>
      </c>
      <c r="M74" s="17">
        <f>IFERROR(
IF(
$A74="","",
(VLOOKUP($G74,'nuevos productoss'!$A:$E,4,0))
),$C74)</f>
        <v>13081.128000000001</v>
      </c>
      <c r="N74" s="17">
        <f>IFERROR(
IF(
$A74="","",
(VLOOKUP($G74,'nuevos productoss'!$A:$E,5,0))
),$C74)</f>
        <v>11085.791999999999</v>
      </c>
      <c r="O74" s="17">
        <f t="shared" si="5"/>
        <v>1995.3360000000011</v>
      </c>
    </row>
    <row r="75" spans="1:15" x14ac:dyDescent="0.3">
      <c r="A75" s="5" t="s">
        <v>120</v>
      </c>
      <c r="B75" s="20">
        <v>15</v>
      </c>
      <c r="C75" s="21">
        <v>31524.591</v>
      </c>
      <c r="D75" s="18">
        <f t="shared" si="3"/>
        <v>31524.591</v>
      </c>
      <c r="E75" s="21">
        <f t="shared" si="4"/>
        <v>29948.36145</v>
      </c>
      <c r="F75" s="18">
        <v>1</v>
      </c>
      <c r="G75" s="23" t="s">
        <v>121</v>
      </c>
      <c r="H75" s="22" t="s">
        <v>1033</v>
      </c>
      <c r="I75" s="22" t="s">
        <v>1034</v>
      </c>
      <c r="J75" s="22" t="s">
        <v>1127</v>
      </c>
      <c r="K75" s="11" t="s">
        <v>1467</v>
      </c>
      <c r="M75" s="17">
        <f>IFERROR(
IF(
$A75="","",
(VLOOKUP($G75,'nuevos productoss'!$A:$E,4,0))
),$C75)</f>
        <v>30943.396000000001</v>
      </c>
      <c r="N75" s="17">
        <f>IFERROR(
IF(
$A75="","",
(VLOOKUP($G75,'nuevos productoss'!$A:$E,5,0))
),$C75)</f>
        <v>26223.232</v>
      </c>
      <c r="O75" s="17">
        <f t="shared" si="5"/>
        <v>4720.1640000000007</v>
      </c>
    </row>
    <row r="76" spans="1:15" x14ac:dyDescent="0.3">
      <c r="A76" s="5" t="s">
        <v>122</v>
      </c>
      <c r="B76" s="20">
        <v>15</v>
      </c>
      <c r="C76" s="21">
        <v>19992.588</v>
      </c>
      <c r="D76" s="18">
        <f t="shared" si="3"/>
        <v>19992.588</v>
      </c>
      <c r="E76" s="21">
        <f t="shared" si="4"/>
        <v>18992.958599999998</v>
      </c>
      <c r="F76" s="18">
        <v>1</v>
      </c>
      <c r="G76" s="23" t="s">
        <v>123</v>
      </c>
      <c r="H76" s="22" t="s">
        <v>1033</v>
      </c>
      <c r="I76" s="22" t="s">
        <v>1034</v>
      </c>
      <c r="J76" s="22" t="s">
        <v>1128</v>
      </c>
      <c r="K76" s="11" t="s">
        <v>1467</v>
      </c>
      <c r="M76" s="17">
        <f>IFERROR(
IF(
$A76="","",
(VLOOKUP($G76,'nuevos productoss'!$A:$E,4,0))
),$C76)</f>
        <v>19625.392</v>
      </c>
      <c r="N76" s="17">
        <f>IFERROR(
IF(
$A76="","",
(VLOOKUP($G76,'nuevos productoss'!$A:$E,5,0))
),$C76)</f>
        <v>16631.648000000001</v>
      </c>
      <c r="O76" s="17">
        <f t="shared" si="5"/>
        <v>2993.7439999999988</v>
      </c>
    </row>
    <row r="77" spans="1:15" x14ac:dyDescent="0.3">
      <c r="A77" s="5" t="s">
        <v>124</v>
      </c>
      <c r="B77" s="20">
        <v>15</v>
      </c>
      <c r="C77" s="21">
        <v>22596.987000000001</v>
      </c>
      <c r="D77" s="18">
        <f t="shared" si="3"/>
        <v>22596.987000000001</v>
      </c>
      <c r="E77" s="21">
        <f t="shared" si="4"/>
        <v>21467.137650000001</v>
      </c>
      <c r="F77" s="18">
        <v>1</v>
      </c>
      <c r="G77" s="23" t="s">
        <v>125</v>
      </c>
      <c r="H77" s="22" t="s">
        <v>1033</v>
      </c>
      <c r="I77" s="22" t="s">
        <v>1034</v>
      </c>
      <c r="J77" s="22" t="s">
        <v>1129</v>
      </c>
      <c r="K77" s="11" t="s">
        <v>1467</v>
      </c>
      <c r="M77" s="17">
        <f>IFERROR(
IF(
$A77="","",
(VLOOKUP($G77,'nuevos productoss'!$A:$E,4,0))
),$C77)</f>
        <v>22181.944</v>
      </c>
      <c r="N77" s="17">
        <f>IFERROR(
IF(
$A77="","",
(VLOOKUP($G77,'nuevos productoss'!$A:$E,5,0))
),$C77)</f>
        <v>18798.22</v>
      </c>
      <c r="O77" s="17">
        <f t="shared" si="5"/>
        <v>3383.7239999999983</v>
      </c>
    </row>
    <row r="78" spans="1:15" x14ac:dyDescent="0.3">
      <c r="A78" s="5" t="s">
        <v>126</v>
      </c>
      <c r="B78" s="20">
        <v>0</v>
      </c>
      <c r="C78" s="21">
        <v>37706.97</v>
      </c>
      <c r="D78" s="18">
        <f t="shared" si="3"/>
        <v>37706.97</v>
      </c>
      <c r="E78" s="21">
        <f t="shared" si="4"/>
        <v>35821.621500000001</v>
      </c>
      <c r="F78" s="18">
        <v>1</v>
      </c>
      <c r="G78" s="23" t="s">
        <v>127</v>
      </c>
      <c r="H78" s="22" t="s">
        <v>1058</v>
      </c>
      <c r="I78" s="22" t="s">
        <v>1065</v>
      </c>
      <c r="J78" s="22" t="s">
        <v>1130</v>
      </c>
      <c r="K78" s="11" t="s">
        <v>1467</v>
      </c>
      <c r="M78" s="17">
        <f>IFERROR(
IF(
$A78="","",
(VLOOKUP($G78,'nuevos productoss'!$A:$E,4,0))
),$C78)</f>
        <v>37019.684000000001</v>
      </c>
      <c r="N78" s="17">
        <f>IFERROR(
IF(
$A78="","",
(VLOOKUP($G78,'nuevos productoss'!$A:$E,5,0))
),$C78)</f>
        <v>31372.596000000001</v>
      </c>
      <c r="O78" s="17">
        <f t="shared" si="5"/>
        <v>5647.0879999999997</v>
      </c>
    </row>
    <row r="79" spans="1:15" x14ac:dyDescent="0.3">
      <c r="A79" s="5" t="s">
        <v>128</v>
      </c>
      <c r="B79" s="20">
        <v>0</v>
      </c>
      <c r="C79" s="21">
        <v>29525.978999999999</v>
      </c>
      <c r="D79" s="18">
        <f t="shared" si="3"/>
        <v>29525.978999999999</v>
      </c>
      <c r="E79" s="21">
        <f t="shared" si="4"/>
        <v>28049.680049999999</v>
      </c>
      <c r="F79" s="18">
        <v>1</v>
      </c>
      <c r="G79" s="23" t="s">
        <v>129</v>
      </c>
      <c r="H79" s="22" t="s">
        <v>1058</v>
      </c>
      <c r="I79" s="22" t="s">
        <v>1065</v>
      </c>
      <c r="J79" s="22" t="s">
        <v>1131</v>
      </c>
      <c r="K79" s="11" t="s">
        <v>1467</v>
      </c>
      <c r="M79" s="17">
        <f>IFERROR(
IF(
$A79="","",
(VLOOKUP($G79,'nuevos productoss'!$A:$E,4,0))
),$C79)</f>
        <v>28987.871999999999</v>
      </c>
      <c r="N79" s="17">
        <f>IFERROR(
IF(
$A79="","",
(VLOOKUP($G79,'nuevos productoss'!$A:$E,5,0))
),$C79)</f>
        <v>24565.928</v>
      </c>
      <c r="O79" s="17">
        <f t="shared" si="5"/>
        <v>4421.9439999999995</v>
      </c>
    </row>
    <row r="80" spans="1:15" x14ac:dyDescent="0.3">
      <c r="A80" s="5" t="s">
        <v>130</v>
      </c>
      <c r="B80" s="20">
        <v>0</v>
      </c>
      <c r="C80" s="21">
        <v>29376.039000000001</v>
      </c>
      <c r="D80" s="18">
        <f t="shared" si="3"/>
        <v>29376.039000000001</v>
      </c>
      <c r="E80" s="21">
        <f t="shared" si="4"/>
        <v>27907.23705</v>
      </c>
      <c r="F80" s="18">
        <v>1</v>
      </c>
      <c r="G80" s="23" t="s">
        <v>131</v>
      </c>
      <c r="H80" s="22" t="s">
        <v>1058</v>
      </c>
      <c r="I80" s="22" t="s">
        <v>1065</v>
      </c>
      <c r="J80" s="22" t="s">
        <v>1132</v>
      </c>
      <c r="K80" s="11" t="s">
        <v>1467</v>
      </c>
      <c r="M80" s="17">
        <f>IFERROR(
IF(
$A80="","",
(VLOOKUP($G80,'nuevos productoss'!$A:$E,4,0))
),$C80)</f>
        <v>28840.612000000001</v>
      </c>
      <c r="N80" s="17">
        <f>IFERROR(
IF(
$A80="","",
(VLOOKUP($G80,'nuevos productoss'!$A:$E,5,0))
),$C80)</f>
        <v>24441.164000000001</v>
      </c>
      <c r="O80" s="17">
        <f t="shared" si="5"/>
        <v>4399.4480000000003</v>
      </c>
    </row>
    <row r="81" spans="1:15" x14ac:dyDescent="0.3">
      <c r="A81" s="5" t="s">
        <v>132</v>
      </c>
      <c r="B81" s="20">
        <v>0</v>
      </c>
      <c r="C81" s="21">
        <v>29376.039000000001</v>
      </c>
      <c r="D81" s="18">
        <f t="shared" si="3"/>
        <v>29376.039000000001</v>
      </c>
      <c r="E81" s="21">
        <f t="shared" si="4"/>
        <v>27907.23705</v>
      </c>
      <c r="F81" s="18">
        <v>1</v>
      </c>
      <c r="G81" s="23" t="s">
        <v>133</v>
      </c>
      <c r="H81" s="22" t="s">
        <v>1058</v>
      </c>
      <c r="I81" s="22" t="s">
        <v>1065</v>
      </c>
      <c r="J81" s="22" t="s">
        <v>1133</v>
      </c>
      <c r="K81" s="11" t="s">
        <v>1467</v>
      </c>
      <c r="M81" s="17">
        <f>IFERROR(
IF(
$A81="","",
(VLOOKUP($G81,'nuevos productoss'!$A:$E,4,0))
),$C81)</f>
        <v>28840.612000000001</v>
      </c>
      <c r="N81" s="17">
        <f>IFERROR(
IF(
$A81="","",
(VLOOKUP($G81,'nuevos productoss'!$A:$E,5,0))
),$C81)</f>
        <v>24441.164000000001</v>
      </c>
      <c r="O81" s="17">
        <f t="shared" si="5"/>
        <v>4399.4480000000003</v>
      </c>
    </row>
    <row r="82" spans="1:15" x14ac:dyDescent="0.3">
      <c r="A82" s="5" t="s">
        <v>134</v>
      </c>
      <c r="B82" s="20">
        <v>0</v>
      </c>
      <c r="C82" s="21">
        <v>23783.423999999999</v>
      </c>
      <c r="D82" s="18">
        <f t="shared" si="3"/>
        <v>23783.423999999999</v>
      </c>
      <c r="E82" s="21">
        <f t="shared" si="4"/>
        <v>22594.252799999998</v>
      </c>
      <c r="F82" s="18">
        <v>1</v>
      </c>
      <c r="G82" s="23" t="s">
        <v>135</v>
      </c>
      <c r="H82" s="22" t="s">
        <v>1058</v>
      </c>
      <c r="I82" s="22" t="s">
        <v>1065</v>
      </c>
      <c r="J82" s="22" t="s">
        <v>1134</v>
      </c>
      <c r="K82" s="11" t="s">
        <v>1467</v>
      </c>
      <c r="M82" s="17">
        <f>IFERROR(
IF(
$A82="","",
(VLOOKUP($G82,'nuevos productoss'!$A:$E,4,0))
),$C82)</f>
        <v>23348.184000000001</v>
      </c>
      <c r="N82" s="17">
        <f>IFERROR(
IF(
$A82="","",
(VLOOKUP($G82,'nuevos productoss'!$A:$E,5,0))
),$C82)</f>
        <v>19786.563999999998</v>
      </c>
      <c r="O82" s="17">
        <f t="shared" si="5"/>
        <v>3561.6200000000026</v>
      </c>
    </row>
    <row r="83" spans="1:15" x14ac:dyDescent="0.3">
      <c r="A83" s="5" t="s">
        <v>136</v>
      </c>
      <c r="B83" s="20">
        <v>0</v>
      </c>
      <c r="C83" s="21">
        <v>23783.423999999999</v>
      </c>
      <c r="D83" s="18">
        <f t="shared" si="3"/>
        <v>23783.423999999999</v>
      </c>
      <c r="E83" s="21">
        <f t="shared" si="4"/>
        <v>22594.252799999998</v>
      </c>
      <c r="F83" s="18">
        <v>1</v>
      </c>
      <c r="G83" s="23" t="s">
        <v>137</v>
      </c>
      <c r="H83" s="22" t="s">
        <v>1058</v>
      </c>
      <c r="I83" s="22" t="s">
        <v>1065</v>
      </c>
      <c r="J83" s="22" t="s">
        <v>1135</v>
      </c>
      <c r="K83" s="11" t="s">
        <v>1467</v>
      </c>
      <c r="M83" s="17">
        <f>IFERROR(
IF(
$A83="","",
(VLOOKUP($G83,'nuevos productoss'!$A:$E,4,0))
),$C83)</f>
        <v>23348.184000000001</v>
      </c>
      <c r="N83" s="17">
        <f>IFERROR(
IF(
$A83="","",
(VLOOKUP($G83,'nuevos productoss'!$A:$E,5,0))
),$C83)</f>
        <v>19786.563999999998</v>
      </c>
      <c r="O83" s="17">
        <f t="shared" si="5"/>
        <v>3561.6200000000026</v>
      </c>
    </row>
    <row r="84" spans="1:15" x14ac:dyDescent="0.3">
      <c r="A84" s="5" t="s">
        <v>138</v>
      </c>
      <c r="B84" s="20">
        <v>0</v>
      </c>
      <c r="C84" s="21">
        <v>23783.423999999999</v>
      </c>
      <c r="D84" s="18">
        <f t="shared" si="3"/>
        <v>23783.423999999999</v>
      </c>
      <c r="E84" s="21">
        <f t="shared" si="4"/>
        <v>22594.252799999998</v>
      </c>
      <c r="F84" s="18">
        <v>1</v>
      </c>
      <c r="G84" s="23" t="s">
        <v>139</v>
      </c>
      <c r="H84" s="22" t="s">
        <v>1058</v>
      </c>
      <c r="I84" s="22" t="s">
        <v>1065</v>
      </c>
      <c r="J84" s="22" t="s">
        <v>1136</v>
      </c>
      <c r="K84" s="11" t="s">
        <v>1467</v>
      </c>
      <c r="M84" s="17">
        <f>IFERROR(
IF(
$A84="","",
(VLOOKUP($G84,'nuevos productoss'!$A:$E,4,0))
),$C84)</f>
        <v>23348.184000000001</v>
      </c>
      <c r="N84" s="17">
        <f>IFERROR(
IF(
$A84="","",
(VLOOKUP($G84,'nuevos productoss'!$A:$E,5,0))
),$C84)</f>
        <v>19786.563999999998</v>
      </c>
      <c r="O84" s="17">
        <f t="shared" si="5"/>
        <v>3561.6200000000026</v>
      </c>
    </row>
    <row r="85" spans="1:15" x14ac:dyDescent="0.3">
      <c r="A85" s="5" t="s">
        <v>140</v>
      </c>
      <c r="B85" s="20">
        <v>0</v>
      </c>
      <c r="C85" s="21">
        <v>37680.362999999998</v>
      </c>
      <c r="D85" s="18">
        <f t="shared" si="3"/>
        <v>37680.362999999998</v>
      </c>
      <c r="E85" s="21">
        <f t="shared" si="4"/>
        <v>35796.344849999994</v>
      </c>
      <c r="F85" s="18">
        <v>1</v>
      </c>
      <c r="G85" s="23" t="s">
        <v>141</v>
      </c>
      <c r="H85" s="22" t="s">
        <v>1058</v>
      </c>
      <c r="I85" s="22" t="s">
        <v>1065</v>
      </c>
      <c r="J85" s="22" t="s">
        <v>1137</v>
      </c>
      <c r="K85" s="11" t="s">
        <v>1467</v>
      </c>
      <c r="M85" s="17">
        <f>IFERROR(
IF(
$A85="","",
(VLOOKUP($G85,'nuevos productoss'!$A:$E,4,0))
),$C85)</f>
        <v>36993.487999999998</v>
      </c>
      <c r="N85" s="17">
        <f>IFERROR(
IF(
$A85="","",
(VLOOKUP($G85,'nuevos productoss'!$A:$E,5,0))
),$C85)</f>
        <v>31350.396000000001</v>
      </c>
      <c r="O85" s="17">
        <f t="shared" si="5"/>
        <v>5643.0919999999969</v>
      </c>
    </row>
    <row r="86" spans="1:15" x14ac:dyDescent="0.3">
      <c r="A86" s="5" t="s">
        <v>142</v>
      </c>
      <c r="B86" s="20">
        <v>0</v>
      </c>
      <c r="C86" s="21">
        <v>27242.333999999999</v>
      </c>
      <c r="D86" s="18">
        <f t="shared" si="3"/>
        <v>27242.333999999999</v>
      </c>
      <c r="E86" s="21">
        <f t="shared" si="4"/>
        <v>25880.217299999997</v>
      </c>
      <c r="F86" s="18">
        <v>1</v>
      </c>
      <c r="G86" s="23" t="s">
        <v>143</v>
      </c>
      <c r="H86" s="22" t="s">
        <v>1058</v>
      </c>
      <c r="I86" s="22" t="s">
        <v>1065</v>
      </c>
      <c r="J86" s="22" t="s">
        <v>1138</v>
      </c>
      <c r="K86" s="11" t="s">
        <v>1467</v>
      </c>
      <c r="M86" s="17">
        <f>IFERROR(
IF(
$A86="","",
(VLOOKUP($G86,'nuevos productoss'!$A:$E,4,0))
),$C86)</f>
        <v>26741.972000000002</v>
      </c>
      <c r="N86" s="17">
        <f>IFERROR(
IF(
$A86="","",
(VLOOKUP($G86,'nuevos productoss'!$A:$E,5,0))
),$C86)</f>
        <v>22662.648000000001</v>
      </c>
      <c r="O86" s="17">
        <f t="shared" si="5"/>
        <v>4079.3240000000005</v>
      </c>
    </row>
    <row r="87" spans="1:15" x14ac:dyDescent="0.3">
      <c r="A87" s="5" t="s">
        <v>144</v>
      </c>
      <c r="B87" s="20">
        <v>0</v>
      </c>
      <c r="C87" s="21">
        <v>27242.333999999999</v>
      </c>
      <c r="D87" s="18">
        <f t="shared" si="3"/>
        <v>27242.333999999999</v>
      </c>
      <c r="E87" s="21">
        <f t="shared" si="4"/>
        <v>25880.217299999997</v>
      </c>
      <c r="F87" s="18">
        <v>1</v>
      </c>
      <c r="G87" s="23" t="s">
        <v>145</v>
      </c>
      <c r="H87" s="22" t="s">
        <v>1058</v>
      </c>
      <c r="I87" s="22" t="s">
        <v>1065</v>
      </c>
      <c r="J87" s="22" t="s">
        <v>1139</v>
      </c>
      <c r="K87" s="11" t="s">
        <v>1467</v>
      </c>
      <c r="M87" s="17">
        <f>IFERROR(
IF(
$A87="","",
(VLOOKUP($G87,'nuevos productoss'!$A:$E,4,0))
),$C87)</f>
        <v>26741.972000000002</v>
      </c>
      <c r="N87" s="17">
        <f>IFERROR(
IF(
$A87="","",
(VLOOKUP($G87,'nuevos productoss'!$A:$E,5,0))
),$C87)</f>
        <v>22662.648000000001</v>
      </c>
      <c r="O87" s="17">
        <f t="shared" si="5"/>
        <v>4079.3240000000005</v>
      </c>
    </row>
    <row r="88" spans="1:15" x14ac:dyDescent="0.3">
      <c r="A88" s="5" t="s">
        <v>146</v>
      </c>
      <c r="B88" s="20">
        <v>0</v>
      </c>
      <c r="C88" s="21">
        <v>27242.333999999999</v>
      </c>
      <c r="D88" s="18">
        <f t="shared" si="3"/>
        <v>27242.333999999999</v>
      </c>
      <c r="E88" s="21">
        <f t="shared" si="4"/>
        <v>25880.217299999997</v>
      </c>
      <c r="F88" s="18">
        <v>1</v>
      </c>
      <c r="G88" s="23" t="s">
        <v>147</v>
      </c>
      <c r="H88" s="22" t="s">
        <v>1058</v>
      </c>
      <c r="I88" s="22" t="s">
        <v>1065</v>
      </c>
      <c r="J88" s="22" t="s">
        <v>1140</v>
      </c>
      <c r="K88" s="11" t="s">
        <v>1467</v>
      </c>
      <c r="M88" s="17">
        <f>IFERROR(
IF(
$A88="","",
(VLOOKUP($G88,'nuevos productoss'!$A:$E,4,0))
),$C88)</f>
        <v>26741.972000000002</v>
      </c>
      <c r="N88" s="17">
        <f>IFERROR(
IF(
$A88="","",
(VLOOKUP($G88,'nuevos productoss'!$A:$E,5,0))
),$C88)</f>
        <v>22662.648000000001</v>
      </c>
      <c r="O88" s="17">
        <f t="shared" si="5"/>
        <v>4079.3240000000005</v>
      </c>
    </row>
    <row r="89" spans="1:15" x14ac:dyDescent="0.3">
      <c r="A89" s="5" t="s">
        <v>148</v>
      </c>
      <c r="B89" s="20">
        <v>0</v>
      </c>
      <c r="C89" s="21">
        <v>28858.452000000001</v>
      </c>
      <c r="D89" s="18">
        <f t="shared" si="3"/>
        <v>28858.452000000001</v>
      </c>
      <c r="E89" s="21">
        <f t="shared" si="4"/>
        <v>27415.529399999999</v>
      </c>
      <c r="F89" s="18">
        <v>1</v>
      </c>
      <c r="G89" s="23" t="s">
        <v>149</v>
      </c>
      <c r="H89" s="22" t="s">
        <v>1058</v>
      </c>
      <c r="I89" s="22" t="s">
        <v>1065</v>
      </c>
      <c r="J89" s="22" t="s">
        <v>1141</v>
      </c>
      <c r="K89" s="11" t="s">
        <v>1467</v>
      </c>
      <c r="M89" s="17">
        <f>IFERROR(
IF(
$A89="","",
(VLOOKUP($G89,'nuevos productoss'!$A:$E,4,0))
),$C89)</f>
        <v>28341.851999999999</v>
      </c>
      <c r="N89" s="17">
        <f>IFERROR(
IF(
$A89="","",
(VLOOKUP($G89,'nuevos productoss'!$A:$E,5,0))
),$C89)</f>
        <v>24018.624</v>
      </c>
      <c r="O89" s="17">
        <f t="shared" si="5"/>
        <v>4323.2279999999992</v>
      </c>
    </row>
    <row r="90" spans="1:15" x14ac:dyDescent="0.3">
      <c r="A90" s="5" t="s">
        <v>150</v>
      </c>
      <c r="B90" s="20">
        <v>0</v>
      </c>
      <c r="C90" s="21">
        <v>50742.635999999999</v>
      </c>
      <c r="D90" s="18">
        <f t="shared" si="3"/>
        <v>50742.635999999999</v>
      </c>
      <c r="E90" s="21">
        <f t="shared" si="4"/>
        <v>48205.504199999996</v>
      </c>
      <c r="F90" s="18">
        <v>1</v>
      </c>
      <c r="G90" s="23" t="s">
        <v>151</v>
      </c>
      <c r="H90" s="22" t="s">
        <v>1058</v>
      </c>
      <c r="I90" s="22" t="s">
        <v>1065</v>
      </c>
      <c r="J90" s="22" t="s">
        <v>1142</v>
      </c>
      <c r="K90" s="11" t="s">
        <v>1467</v>
      </c>
      <c r="M90" s="17">
        <f>IFERROR(
IF(
$A90="","",
(VLOOKUP($G90,'nuevos productoss'!$A:$E,4,0))
),$C90)</f>
        <v>49806.883999999998</v>
      </c>
      <c r="N90" s="17">
        <f>IFERROR(
IF(
$A90="","",
(VLOOKUP($G90,'nuevos productoss'!$A:$E,5,0))
),$C90)</f>
        <v>42209.303999999996</v>
      </c>
      <c r="O90" s="17">
        <f t="shared" si="5"/>
        <v>7597.5800000000017</v>
      </c>
    </row>
    <row r="91" spans="1:15" x14ac:dyDescent="0.3">
      <c r="A91" s="5" t="s">
        <v>152</v>
      </c>
      <c r="B91" s="20">
        <v>0</v>
      </c>
      <c r="C91" s="21">
        <v>50742.635999999999</v>
      </c>
      <c r="D91" s="18">
        <f t="shared" si="3"/>
        <v>50742.635999999999</v>
      </c>
      <c r="E91" s="21">
        <f t="shared" si="4"/>
        <v>48205.504199999996</v>
      </c>
      <c r="F91" s="18">
        <v>1</v>
      </c>
      <c r="G91" s="23" t="s">
        <v>153</v>
      </c>
      <c r="H91" s="22" t="s">
        <v>1058</v>
      </c>
      <c r="I91" s="22" t="s">
        <v>1065</v>
      </c>
      <c r="J91" s="22" t="s">
        <v>1143</v>
      </c>
      <c r="K91" s="11" t="s">
        <v>1467</v>
      </c>
      <c r="M91" s="17">
        <f>IFERROR(
IF(
$A91="","",
(VLOOKUP($G91,'nuevos productoss'!$A:$E,4,0))
),$C91)</f>
        <v>49806.883999999998</v>
      </c>
      <c r="N91" s="17">
        <f>IFERROR(
IF(
$A91="","",
(VLOOKUP($G91,'nuevos productoss'!$A:$E,5,0))
),$C91)</f>
        <v>42209.303999999996</v>
      </c>
      <c r="O91" s="17">
        <f t="shared" si="5"/>
        <v>7597.5800000000017</v>
      </c>
    </row>
    <row r="92" spans="1:15" x14ac:dyDescent="0.3">
      <c r="A92" s="5" t="s">
        <v>154</v>
      </c>
      <c r="B92" s="20">
        <v>0</v>
      </c>
      <c r="C92" s="21">
        <v>50742.635999999999</v>
      </c>
      <c r="D92" s="18">
        <f t="shared" si="3"/>
        <v>50742.635999999999</v>
      </c>
      <c r="E92" s="21">
        <f t="shared" si="4"/>
        <v>48205.504199999996</v>
      </c>
      <c r="F92" s="18">
        <v>1</v>
      </c>
      <c r="G92" s="23" t="s">
        <v>155</v>
      </c>
      <c r="H92" s="22" t="s">
        <v>1058</v>
      </c>
      <c r="I92" s="22" t="s">
        <v>1065</v>
      </c>
      <c r="J92" s="22" t="s">
        <v>1144</v>
      </c>
      <c r="K92" s="11" t="s">
        <v>1467</v>
      </c>
      <c r="M92" s="17">
        <f>IFERROR(
IF(
$A92="","",
(VLOOKUP($G92,'nuevos productoss'!$A:$E,4,0))
),$C92)</f>
        <v>49806.883999999998</v>
      </c>
      <c r="N92" s="17">
        <f>IFERROR(
IF(
$A92="","",
(VLOOKUP($G92,'nuevos productoss'!$A:$E,5,0))
),$C92)</f>
        <v>42209.303999999996</v>
      </c>
      <c r="O92" s="17">
        <f t="shared" si="5"/>
        <v>7597.5800000000017</v>
      </c>
    </row>
    <row r="93" spans="1:15" x14ac:dyDescent="0.3">
      <c r="A93" s="5" t="s">
        <v>156</v>
      </c>
      <c r="B93" s="20">
        <v>0</v>
      </c>
      <c r="C93" s="21">
        <v>13761.846</v>
      </c>
      <c r="D93" s="18">
        <f t="shared" si="3"/>
        <v>13761.846</v>
      </c>
      <c r="E93" s="21">
        <f t="shared" si="4"/>
        <v>13073.753699999999</v>
      </c>
      <c r="F93" s="18">
        <v>1</v>
      </c>
      <c r="G93" s="23" t="s">
        <v>157</v>
      </c>
      <c r="H93" s="22" t="s">
        <v>1058</v>
      </c>
      <c r="I93" s="22" t="s">
        <v>1065</v>
      </c>
      <c r="J93" s="22" t="s">
        <v>1145</v>
      </c>
      <c r="K93" s="11" t="s">
        <v>1467</v>
      </c>
      <c r="M93" s="17">
        <f>IFERROR(
IF(
$A93="","",
(VLOOKUP($G93,'nuevos productoss'!$A:$E,4,0))
),$C93)</f>
        <v>13391.632</v>
      </c>
      <c r="N93" s="17">
        <f>IFERROR(
IF(
$A93="","",
(VLOOKUP($G93,'nuevos productoss'!$A:$E,5,0))
),$C93)</f>
        <v>11348.788</v>
      </c>
      <c r="O93" s="17">
        <f t="shared" si="5"/>
        <v>2042.8439999999991</v>
      </c>
    </row>
    <row r="94" spans="1:15" x14ac:dyDescent="0.3">
      <c r="A94" s="5" t="s">
        <v>158</v>
      </c>
      <c r="B94" s="20">
        <v>0</v>
      </c>
      <c r="C94" s="21">
        <v>13761.846</v>
      </c>
      <c r="D94" s="18">
        <f t="shared" si="3"/>
        <v>13761.846</v>
      </c>
      <c r="E94" s="21">
        <f t="shared" si="4"/>
        <v>13073.753699999999</v>
      </c>
      <c r="F94" s="18">
        <v>1</v>
      </c>
      <c r="G94" s="23" t="s">
        <v>159</v>
      </c>
      <c r="H94" s="22" t="s">
        <v>1058</v>
      </c>
      <c r="I94" s="22" t="s">
        <v>1065</v>
      </c>
      <c r="J94" s="22" t="s">
        <v>1146</v>
      </c>
      <c r="K94" s="11" t="s">
        <v>1467</v>
      </c>
      <c r="M94" s="17">
        <f>IFERROR(
IF(
$A94="","",
(VLOOKUP($G94,'nuevos productoss'!$A:$E,4,0))
),$C94)</f>
        <v>13508.108</v>
      </c>
      <c r="N94" s="17">
        <f>IFERROR(
IF(
$A94="","",
(VLOOKUP($G94,'nuevos productoss'!$A:$E,5,0))
),$C94)</f>
        <v>11447.504000000001</v>
      </c>
      <c r="O94" s="17">
        <f t="shared" si="5"/>
        <v>2060.6039999999994</v>
      </c>
    </row>
    <row r="95" spans="1:15" x14ac:dyDescent="0.3">
      <c r="A95" s="5" t="s">
        <v>160</v>
      </c>
      <c r="B95" s="20">
        <v>0</v>
      </c>
      <c r="C95" s="21">
        <v>13761.846</v>
      </c>
      <c r="D95" s="18">
        <f t="shared" si="3"/>
        <v>13761.846</v>
      </c>
      <c r="E95" s="21">
        <f t="shared" si="4"/>
        <v>13073.753699999999</v>
      </c>
      <c r="F95" s="18">
        <v>1</v>
      </c>
      <c r="G95" s="23" t="s">
        <v>161</v>
      </c>
      <c r="H95" s="22" t="s">
        <v>1058</v>
      </c>
      <c r="I95" s="22" t="s">
        <v>1065</v>
      </c>
      <c r="J95" s="22" t="s">
        <v>1147</v>
      </c>
      <c r="K95" s="11" t="s">
        <v>1467</v>
      </c>
      <c r="M95" s="17">
        <f>IFERROR(
IF(
$A95="","",
(VLOOKUP($G95,'nuevos productoss'!$A:$E,4,0))
),$C95)</f>
        <v>13391.632</v>
      </c>
      <c r="N95" s="17">
        <f>IFERROR(
IF(
$A95="","",
(VLOOKUP($G95,'nuevos productoss'!$A:$E,5,0))
),$C95)</f>
        <v>11348.788</v>
      </c>
      <c r="O95" s="17">
        <f t="shared" si="5"/>
        <v>2042.8439999999991</v>
      </c>
    </row>
    <row r="96" spans="1:15" x14ac:dyDescent="0.3">
      <c r="A96" s="5" t="s">
        <v>162</v>
      </c>
      <c r="B96" s="20">
        <v>0</v>
      </c>
      <c r="C96" s="21">
        <v>8394.1409999999996</v>
      </c>
      <c r="D96" s="18">
        <f t="shared" si="3"/>
        <v>8394.1409999999996</v>
      </c>
      <c r="E96" s="21">
        <f t="shared" si="4"/>
        <v>7974.4339499999996</v>
      </c>
      <c r="F96" s="18">
        <v>1</v>
      </c>
      <c r="G96" s="23" t="s">
        <v>163</v>
      </c>
      <c r="H96" s="22" t="s">
        <v>1058</v>
      </c>
      <c r="I96" s="22" t="s">
        <v>1065</v>
      </c>
      <c r="J96" s="22" t="s">
        <v>1148</v>
      </c>
      <c r="K96" s="11" t="s">
        <v>1467</v>
      </c>
      <c r="M96" s="17">
        <f>IFERROR(
IF(
$A96="","",
(VLOOKUP($G96,'nuevos productoss'!$A:$E,4,0))
),$C96)</f>
        <v>5101.7079999999996</v>
      </c>
      <c r="N96" s="17">
        <f>IFERROR(
IF(
$A96="","",
(VLOOKUP($G96,'nuevos productoss'!$A:$E,5,0))
),$C96)</f>
        <v>4323.3760000000002</v>
      </c>
      <c r="O96" s="17">
        <f t="shared" si="5"/>
        <v>778.33199999999943</v>
      </c>
    </row>
    <row r="97" spans="1:15" x14ac:dyDescent="0.3">
      <c r="A97" s="5" t="s">
        <v>164</v>
      </c>
      <c r="B97" s="20">
        <v>0</v>
      </c>
      <c r="C97" s="21">
        <v>6662.04</v>
      </c>
      <c r="D97" s="18">
        <f t="shared" si="3"/>
        <v>6662.04</v>
      </c>
      <c r="E97" s="21">
        <f t="shared" si="4"/>
        <v>6328.9380000000001</v>
      </c>
      <c r="F97" s="18">
        <v>1</v>
      </c>
      <c r="G97" s="23" t="s">
        <v>165</v>
      </c>
      <c r="H97" s="22" t="s">
        <v>1058</v>
      </c>
      <c r="I97" s="22" t="s">
        <v>1065</v>
      </c>
      <c r="J97" s="22" t="s">
        <v>1149</v>
      </c>
      <c r="K97" s="11" t="s">
        <v>1467</v>
      </c>
      <c r="M97" s="17">
        <f>IFERROR(
IF(
$A97="","",
(VLOOKUP($G97,'nuevos productoss'!$A:$E,4,0))
),$C97)</f>
        <v>5101.7079999999996</v>
      </c>
      <c r="N97" s="17">
        <f>IFERROR(
IF(
$A97="","",
(VLOOKUP($G97,'nuevos productoss'!$A:$E,5,0))
),$C97)</f>
        <v>4323.3760000000002</v>
      </c>
      <c r="O97" s="17">
        <f t="shared" si="5"/>
        <v>778.33199999999943</v>
      </c>
    </row>
    <row r="98" spans="1:15" x14ac:dyDescent="0.3">
      <c r="A98" s="5" t="s">
        <v>166</v>
      </c>
      <c r="B98" s="20">
        <v>0</v>
      </c>
      <c r="C98" s="21">
        <v>6662.04</v>
      </c>
      <c r="D98" s="18">
        <f t="shared" si="3"/>
        <v>6662.04</v>
      </c>
      <c r="E98" s="21">
        <f t="shared" si="4"/>
        <v>6328.9380000000001</v>
      </c>
      <c r="F98" s="18">
        <v>1</v>
      </c>
      <c r="G98" s="23" t="s">
        <v>167</v>
      </c>
      <c r="H98" s="22" t="s">
        <v>1058</v>
      </c>
      <c r="I98" s="22" t="s">
        <v>1065</v>
      </c>
      <c r="J98" s="22" t="s">
        <v>1149</v>
      </c>
      <c r="K98" s="11" t="s">
        <v>1467</v>
      </c>
      <c r="M98" s="17">
        <f>IFERROR(
IF(
$A98="","",
(VLOOKUP($G98,'nuevos productoss'!$A:$E,4,0))
),$C98)</f>
        <v>5101.7079999999996</v>
      </c>
      <c r="N98" s="17">
        <f>IFERROR(
IF(
$A98="","",
(VLOOKUP($G98,'nuevos productoss'!$A:$E,5,0))
),$C98)</f>
        <v>4323.3760000000002</v>
      </c>
      <c r="O98" s="17">
        <f t="shared" si="5"/>
        <v>778.33199999999943</v>
      </c>
    </row>
    <row r="99" spans="1:15" x14ac:dyDescent="0.3">
      <c r="A99" s="5" t="s">
        <v>168</v>
      </c>
      <c r="B99" s="20">
        <v>0</v>
      </c>
      <c r="C99" s="21">
        <v>6662.04</v>
      </c>
      <c r="D99" s="18">
        <f t="shared" si="3"/>
        <v>6662.04</v>
      </c>
      <c r="E99" s="21">
        <f t="shared" si="4"/>
        <v>6328.9380000000001</v>
      </c>
      <c r="F99" s="18">
        <v>1</v>
      </c>
      <c r="G99" s="23" t="s">
        <v>169</v>
      </c>
      <c r="H99" s="22" t="s">
        <v>1058</v>
      </c>
      <c r="I99" s="22" t="s">
        <v>1065</v>
      </c>
      <c r="J99" s="22" t="s">
        <v>1149</v>
      </c>
      <c r="K99" s="11" t="s">
        <v>1467</v>
      </c>
      <c r="M99" s="17">
        <f>IFERROR(
IF(
$A99="","",
(VLOOKUP($G99,'nuevos productoss'!$A:$E,4,0))
),$C99)</f>
        <v>5101.7079999999996</v>
      </c>
      <c r="N99" s="17">
        <f>IFERROR(
IF(
$A99="","",
(VLOOKUP($G99,'nuevos productoss'!$A:$E,5,0))
),$C99)</f>
        <v>4323.3760000000002</v>
      </c>
      <c r="O99" s="17">
        <f t="shared" si="5"/>
        <v>778.33199999999943</v>
      </c>
    </row>
    <row r="100" spans="1:15" x14ac:dyDescent="0.3">
      <c r="A100" s="5" t="s">
        <v>170</v>
      </c>
      <c r="B100" s="20">
        <v>0</v>
      </c>
      <c r="C100" s="21">
        <v>6648.9570000000003</v>
      </c>
      <c r="D100" s="18">
        <f t="shared" si="3"/>
        <v>6648.9570000000003</v>
      </c>
      <c r="E100" s="21">
        <f t="shared" si="4"/>
        <v>6316.5091499999999</v>
      </c>
      <c r="F100" s="18">
        <v>1</v>
      </c>
      <c r="G100" s="23" t="s">
        <v>171</v>
      </c>
      <c r="H100" s="22" t="s">
        <v>1058</v>
      </c>
      <c r="I100" s="22" t="s">
        <v>1065</v>
      </c>
      <c r="J100" s="22" t="s">
        <v>1150</v>
      </c>
      <c r="K100" s="11" t="s">
        <v>1467</v>
      </c>
      <c r="M100" s="17">
        <f>IFERROR(
IF(
$A100="","",
(VLOOKUP($G100,'nuevos productoss'!$A:$E,4,0))
),$C100)</f>
        <v>5117.1000000000004</v>
      </c>
      <c r="N100" s="17">
        <f>IFERROR(
IF(
$A100="","",
(VLOOKUP($G100,'nuevos productoss'!$A:$E,5,0))
),$C100)</f>
        <v>4336.5479999999998</v>
      </c>
      <c r="O100" s="17">
        <f t="shared" si="5"/>
        <v>780.55200000000059</v>
      </c>
    </row>
    <row r="101" spans="1:15" x14ac:dyDescent="0.3">
      <c r="A101" s="5" t="s">
        <v>172</v>
      </c>
      <c r="B101" s="20">
        <v>0</v>
      </c>
      <c r="C101" s="21">
        <v>6662.04</v>
      </c>
      <c r="D101" s="18">
        <f t="shared" si="3"/>
        <v>6662.04</v>
      </c>
      <c r="E101" s="21">
        <f t="shared" si="4"/>
        <v>6328.9380000000001</v>
      </c>
      <c r="F101" s="18">
        <v>1</v>
      </c>
      <c r="G101" s="23" t="s">
        <v>173</v>
      </c>
      <c r="H101" s="22" t="s">
        <v>1058</v>
      </c>
      <c r="I101" s="22" t="s">
        <v>1065</v>
      </c>
      <c r="J101" s="22" t="s">
        <v>1151</v>
      </c>
      <c r="K101" s="11" t="s">
        <v>1467</v>
      </c>
      <c r="M101" s="17">
        <f>IFERROR(
IF(
$A101="","",
(VLOOKUP($G101,'nuevos productoss'!$A:$E,4,0))
),$C101)</f>
        <v>5101.7079999999996</v>
      </c>
      <c r="N101" s="17">
        <f>IFERROR(
IF(
$A101="","",
(VLOOKUP($G101,'nuevos productoss'!$A:$E,5,0))
),$C101)</f>
        <v>4323.3760000000002</v>
      </c>
      <c r="O101" s="17">
        <f t="shared" si="5"/>
        <v>778.33199999999943</v>
      </c>
    </row>
    <row r="102" spans="1:15" x14ac:dyDescent="0.3">
      <c r="A102" s="5" t="s">
        <v>174</v>
      </c>
      <c r="B102" s="20">
        <v>0</v>
      </c>
      <c r="C102" s="21">
        <v>6662.04</v>
      </c>
      <c r="D102" s="18">
        <f t="shared" si="3"/>
        <v>6662.04</v>
      </c>
      <c r="E102" s="21">
        <f t="shared" si="4"/>
        <v>6328.9380000000001</v>
      </c>
      <c r="F102" s="18">
        <v>1</v>
      </c>
      <c r="G102" s="23" t="s">
        <v>175</v>
      </c>
      <c r="H102" s="22" t="s">
        <v>1058</v>
      </c>
      <c r="I102" s="22" t="s">
        <v>1065</v>
      </c>
      <c r="J102" s="22" t="s">
        <v>1152</v>
      </c>
      <c r="K102" s="11" t="s">
        <v>1467</v>
      </c>
      <c r="M102" s="17">
        <f>IFERROR(
IF(
$A102="","",
(VLOOKUP($G102,'nuevos productoss'!$A:$E,4,0))
),$C102)</f>
        <v>5101.7079999999996</v>
      </c>
      <c r="N102" s="17">
        <f>IFERROR(
IF(
$A102="","",
(VLOOKUP($G102,'nuevos productoss'!$A:$E,5,0))
),$C102)</f>
        <v>4323.3760000000002</v>
      </c>
      <c r="O102" s="17">
        <f t="shared" si="5"/>
        <v>778.33199999999943</v>
      </c>
    </row>
    <row r="103" spans="1:15" x14ac:dyDescent="0.3">
      <c r="A103" s="5" t="s">
        <v>176</v>
      </c>
      <c r="B103" s="20">
        <v>0</v>
      </c>
      <c r="C103" s="21">
        <v>6662.04</v>
      </c>
      <c r="D103" s="18">
        <f t="shared" si="3"/>
        <v>6662.04</v>
      </c>
      <c r="E103" s="21">
        <f t="shared" si="4"/>
        <v>6328.9380000000001</v>
      </c>
      <c r="F103" s="18">
        <v>1</v>
      </c>
      <c r="G103" s="23" t="s">
        <v>177</v>
      </c>
      <c r="H103" s="22" t="s">
        <v>1058</v>
      </c>
      <c r="I103" s="22" t="s">
        <v>1065</v>
      </c>
      <c r="J103" s="22" t="s">
        <v>1153</v>
      </c>
      <c r="K103" s="11" t="s">
        <v>1467</v>
      </c>
      <c r="M103" s="17">
        <f>IFERROR(
IF(
$A103="","",
(VLOOKUP($G103,'nuevos productoss'!$A:$E,4,0))
),$C103)</f>
        <v>5101.7079999999996</v>
      </c>
      <c r="N103" s="17">
        <f>IFERROR(
IF(
$A103="","",
(VLOOKUP($G103,'nuevos productoss'!$A:$E,5,0))
),$C103)</f>
        <v>4323.3760000000002</v>
      </c>
      <c r="O103" s="17">
        <f t="shared" si="5"/>
        <v>778.33199999999943</v>
      </c>
    </row>
    <row r="104" spans="1:15" x14ac:dyDescent="0.3">
      <c r="A104" s="5" t="s">
        <v>178</v>
      </c>
      <c r="B104" s="20">
        <v>0</v>
      </c>
      <c r="C104" s="21">
        <v>6662.04</v>
      </c>
      <c r="D104" s="18">
        <f t="shared" si="3"/>
        <v>6662.04</v>
      </c>
      <c r="E104" s="21">
        <f t="shared" si="4"/>
        <v>6328.9380000000001</v>
      </c>
      <c r="F104" s="18">
        <v>1</v>
      </c>
      <c r="G104" s="23" t="s">
        <v>179</v>
      </c>
      <c r="H104" s="22" t="s">
        <v>1058</v>
      </c>
      <c r="I104" s="22" t="s">
        <v>1065</v>
      </c>
      <c r="J104" s="22" t="s">
        <v>1149</v>
      </c>
      <c r="K104" s="11" t="s">
        <v>1467</v>
      </c>
      <c r="M104" s="17">
        <f>IFERROR(
IF(
$A104="","",
(VLOOKUP($G104,'nuevos productoss'!$A:$E,4,0))
),$C104)</f>
        <v>6540.5640000000003</v>
      </c>
      <c r="N104" s="17">
        <f>IFERROR(
IF(
$A104="","",
(VLOOKUP($G104,'nuevos productoss'!$A:$E,5,0))
),$C104)</f>
        <v>5542.8959999999997</v>
      </c>
      <c r="O104" s="17">
        <f t="shared" si="5"/>
        <v>997.66800000000057</v>
      </c>
    </row>
    <row r="105" spans="1:15" x14ac:dyDescent="0.3">
      <c r="A105" s="5" t="s">
        <v>180</v>
      </c>
      <c r="B105" s="20">
        <v>0</v>
      </c>
      <c r="C105" s="21">
        <v>6662.04</v>
      </c>
      <c r="D105" s="18">
        <f t="shared" si="3"/>
        <v>6662.04</v>
      </c>
      <c r="E105" s="21">
        <f t="shared" si="4"/>
        <v>6328.9380000000001</v>
      </c>
      <c r="F105" s="18">
        <v>1</v>
      </c>
      <c r="G105" s="23" t="s">
        <v>181</v>
      </c>
      <c r="H105" s="22" t="s">
        <v>1058</v>
      </c>
      <c r="I105" s="22" t="s">
        <v>1065</v>
      </c>
      <c r="J105" s="22" t="s">
        <v>1149</v>
      </c>
      <c r="K105" s="11" t="s">
        <v>1467</v>
      </c>
      <c r="M105" s="17">
        <f>IFERROR(
IF(
$A105="","",
(VLOOKUP($G105,'nuevos productoss'!$A:$E,4,0))
),$C105)</f>
        <v>6540.5640000000003</v>
      </c>
      <c r="N105" s="17">
        <f>IFERROR(
IF(
$A105="","",
(VLOOKUP($G105,'nuevos productoss'!$A:$E,5,0))
),$C105)</f>
        <v>5542.8959999999997</v>
      </c>
      <c r="O105" s="17">
        <f t="shared" si="5"/>
        <v>997.66800000000057</v>
      </c>
    </row>
    <row r="106" spans="1:15" x14ac:dyDescent="0.3">
      <c r="A106" s="5" t="s">
        <v>182</v>
      </c>
      <c r="B106" s="20">
        <v>0</v>
      </c>
      <c r="C106" s="21">
        <v>6662.04</v>
      </c>
      <c r="D106" s="18">
        <f t="shared" si="3"/>
        <v>6662.04</v>
      </c>
      <c r="E106" s="21">
        <f t="shared" si="4"/>
        <v>6328.9380000000001</v>
      </c>
      <c r="F106" s="18">
        <v>1</v>
      </c>
      <c r="G106" s="23" t="s">
        <v>183</v>
      </c>
      <c r="H106" s="22" t="s">
        <v>1058</v>
      </c>
      <c r="I106" s="22" t="s">
        <v>1065</v>
      </c>
      <c r="J106" s="22" t="s">
        <v>1149</v>
      </c>
      <c r="K106" s="11" t="s">
        <v>1467</v>
      </c>
      <c r="M106" s="17">
        <f>IFERROR(
IF(
$A106="","",
(VLOOKUP($G106,'nuevos productoss'!$A:$E,4,0))
),$C106)</f>
        <v>6540.5640000000003</v>
      </c>
      <c r="N106" s="17">
        <f>IFERROR(
IF(
$A106="","",
(VLOOKUP($G106,'nuevos productoss'!$A:$E,5,0))
),$C106)</f>
        <v>5542.8959999999997</v>
      </c>
      <c r="O106" s="17">
        <f t="shared" si="5"/>
        <v>997.66800000000057</v>
      </c>
    </row>
    <row r="107" spans="1:15" x14ac:dyDescent="0.3">
      <c r="A107" s="5" t="s">
        <v>184</v>
      </c>
      <c r="B107" s="20">
        <v>0</v>
      </c>
      <c r="C107" s="21">
        <v>6662.04</v>
      </c>
      <c r="D107" s="18">
        <f t="shared" si="3"/>
        <v>6662.04</v>
      </c>
      <c r="E107" s="21">
        <f t="shared" si="4"/>
        <v>6328.9380000000001</v>
      </c>
      <c r="F107" s="18">
        <v>1</v>
      </c>
      <c r="G107" s="23" t="s">
        <v>185</v>
      </c>
      <c r="H107" s="22" t="s">
        <v>1058</v>
      </c>
      <c r="I107" s="22" t="s">
        <v>1065</v>
      </c>
      <c r="J107" s="22" t="s">
        <v>1149</v>
      </c>
      <c r="K107" s="11" t="s">
        <v>1467</v>
      </c>
      <c r="M107" s="17">
        <f>IFERROR(
IF(
$A107="","",
(VLOOKUP($G107,'nuevos productoss'!$A:$E,4,0))
),$C107)</f>
        <v>6540.5640000000003</v>
      </c>
      <c r="N107" s="17">
        <f>IFERROR(
IF(
$A107="","",
(VLOOKUP($G107,'nuevos productoss'!$A:$E,5,0))
),$C107)</f>
        <v>5542.8959999999997</v>
      </c>
      <c r="O107" s="17">
        <f t="shared" si="5"/>
        <v>997.66800000000057</v>
      </c>
    </row>
    <row r="108" spans="1:15" x14ac:dyDescent="0.3">
      <c r="A108" s="5" t="s">
        <v>186</v>
      </c>
      <c r="B108" s="20">
        <v>0</v>
      </c>
      <c r="C108" s="21">
        <v>2746.2539999999999</v>
      </c>
      <c r="D108" s="18">
        <f t="shared" si="3"/>
        <v>2746.2539999999999</v>
      </c>
      <c r="E108" s="21">
        <f t="shared" si="4"/>
        <v>2608.9413</v>
      </c>
      <c r="F108" s="18">
        <v>1</v>
      </c>
      <c r="G108" s="23" t="s">
        <v>187</v>
      </c>
      <c r="H108" s="22" t="s">
        <v>1058</v>
      </c>
      <c r="I108" s="22" t="s">
        <v>1065</v>
      </c>
      <c r="J108" s="22" t="s">
        <v>1154</v>
      </c>
      <c r="K108" s="11" t="s">
        <v>1467</v>
      </c>
      <c r="M108" s="17">
        <f>IFERROR(
IF(
$A108="","",
(VLOOKUP($G108,'nuevos productoss'!$A:$E,4,0))
),$C108)</f>
        <v>2697.0039999999999</v>
      </c>
      <c r="N108" s="17">
        <f>IFERROR(
IF(
$A108="","",
(VLOOKUP($G108,'nuevos productoss'!$A:$E,5,0))
),$C108)</f>
        <v>2285.712</v>
      </c>
      <c r="O108" s="17">
        <f t="shared" si="5"/>
        <v>411.29199999999992</v>
      </c>
    </row>
    <row r="109" spans="1:15" x14ac:dyDescent="0.3">
      <c r="A109" s="5" t="s">
        <v>188</v>
      </c>
      <c r="B109" s="20">
        <v>0</v>
      </c>
      <c r="C109" s="21">
        <v>2746.2539999999999</v>
      </c>
      <c r="D109" s="18">
        <f t="shared" si="3"/>
        <v>2746.2539999999999</v>
      </c>
      <c r="E109" s="21">
        <f t="shared" si="4"/>
        <v>2608.9413</v>
      </c>
      <c r="F109" s="18">
        <v>1</v>
      </c>
      <c r="G109" s="23" t="s">
        <v>189</v>
      </c>
      <c r="H109" s="22" t="s">
        <v>1058</v>
      </c>
      <c r="I109" s="22" t="s">
        <v>1065</v>
      </c>
      <c r="J109" s="22" t="s">
        <v>1154</v>
      </c>
      <c r="K109" s="11" t="s">
        <v>1467</v>
      </c>
      <c r="M109" s="17">
        <f>IFERROR(
IF(
$A109="","",
(VLOOKUP($G109,'nuevos productoss'!$A:$E,4,0))
),$C109)</f>
        <v>2697.0039999999999</v>
      </c>
      <c r="N109" s="17">
        <f>IFERROR(
IF(
$A109="","",
(VLOOKUP($G109,'nuevos productoss'!$A:$E,5,0))
),$C109)</f>
        <v>2285.712</v>
      </c>
      <c r="O109" s="17">
        <f t="shared" si="5"/>
        <v>411.29199999999992</v>
      </c>
    </row>
    <row r="110" spans="1:15" x14ac:dyDescent="0.3">
      <c r="A110" s="5" t="s">
        <v>190</v>
      </c>
      <c r="B110" s="20">
        <v>0</v>
      </c>
      <c r="C110" s="21">
        <v>2746.2539999999999</v>
      </c>
      <c r="D110" s="18">
        <f t="shared" si="3"/>
        <v>2746.2539999999999</v>
      </c>
      <c r="E110" s="21">
        <f t="shared" si="4"/>
        <v>2608.9413</v>
      </c>
      <c r="F110" s="18">
        <v>1</v>
      </c>
      <c r="G110" s="23" t="s">
        <v>191</v>
      </c>
      <c r="H110" s="22" t="s">
        <v>1058</v>
      </c>
      <c r="I110" s="22" t="s">
        <v>1065</v>
      </c>
      <c r="J110" s="22" t="s">
        <v>1154</v>
      </c>
      <c r="K110" s="11" t="s">
        <v>1467</v>
      </c>
      <c r="M110" s="17">
        <f>IFERROR(
IF(
$A110="","",
(VLOOKUP($G110,'nuevos productoss'!$A:$E,4,0))
),$C110)</f>
        <v>2697.0039999999999</v>
      </c>
      <c r="N110" s="17">
        <f>IFERROR(
IF(
$A110="","",
(VLOOKUP($G110,'nuevos productoss'!$A:$E,5,0))
),$C110)</f>
        <v>2285.712</v>
      </c>
      <c r="O110" s="17">
        <f t="shared" si="5"/>
        <v>411.29199999999992</v>
      </c>
    </row>
    <row r="111" spans="1:15" x14ac:dyDescent="0.3">
      <c r="A111" s="5" t="s">
        <v>192</v>
      </c>
      <c r="B111" s="20">
        <v>0</v>
      </c>
      <c r="C111" s="21">
        <v>2870.4690000000001</v>
      </c>
      <c r="D111" s="18">
        <f t="shared" si="3"/>
        <v>2870.4690000000001</v>
      </c>
      <c r="E111" s="21">
        <f t="shared" si="4"/>
        <v>2726.9455499999999</v>
      </c>
      <c r="F111" s="18">
        <v>1</v>
      </c>
      <c r="G111" s="23" t="s">
        <v>193</v>
      </c>
      <c r="H111" s="22" t="s">
        <v>1058</v>
      </c>
      <c r="I111" s="22" t="s">
        <v>1065</v>
      </c>
      <c r="J111" s="22" t="s">
        <v>1154</v>
      </c>
      <c r="K111" s="11" t="s">
        <v>1467</v>
      </c>
      <c r="M111" s="17">
        <f>IFERROR(
IF(
$A111="","",
(VLOOKUP($G111,'nuevos productoss'!$A:$E,4,0))
),$C111)</f>
        <v>2819.1039999999998</v>
      </c>
      <c r="N111" s="17">
        <f>IFERROR(
IF(
$A111="","",
(VLOOKUP($G111,'nuevos productoss'!$A:$E,5,0))
),$C111)</f>
        <v>2389.0160000000001</v>
      </c>
      <c r="O111" s="17">
        <f t="shared" si="5"/>
        <v>430.08799999999974</v>
      </c>
    </row>
    <row r="112" spans="1:15" x14ac:dyDescent="0.3">
      <c r="A112" s="5" t="s">
        <v>194</v>
      </c>
      <c r="B112" s="20">
        <v>0</v>
      </c>
      <c r="C112" s="21">
        <v>2870.4690000000001</v>
      </c>
      <c r="D112" s="18">
        <f t="shared" si="3"/>
        <v>2870.4690000000001</v>
      </c>
      <c r="E112" s="21">
        <f t="shared" si="4"/>
        <v>2726.9455499999999</v>
      </c>
      <c r="F112" s="18">
        <v>1</v>
      </c>
      <c r="G112" s="23" t="s">
        <v>195</v>
      </c>
      <c r="H112" s="22" t="s">
        <v>1058</v>
      </c>
      <c r="I112" s="22" t="s">
        <v>1065</v>
      </c>
      <c r="J112" s="22" t="s">
        <v>1154</v>
      </c>
      <c r="K112" s="11" t="s">
        <v>1467</v>
      </c>
      <c r="M112" s="17">
        <f>IFERROR(
IF(
$A112="","",
(VLOOKUP($G112,'nuevos productoss'!$A:$E,4,0))
),$C112)</f>
        <v>2819.1039999999998</v>
      </c>
      <c r="N112" s="17">
        <f>IFERROR(
IF(
$A112="","",
(VLOOKUP($G112,'nuevos productoss'!$A:$E,5,0))
),$C112)</f>
        <v>2389.0160000000001</v>
      </c>
      <c r="O112" s="17">
        <f t="shared" si="5"/>
        <v>430.08799999999974</v>
      </c>
    </row>
    <row r="113" spans="1:15" x14ac:dyDescent="0.3">
      <c r="A113" s="5" t="s">
        <v>196</v>
      </c>
      <c r="B113" s="20">
        <v>0</v>
      </c>
      <c r="C113" s="21">
        <v>2870.4690000000001</v>
      </c>
      <c r="D113" s="18">
        <f t="shared" si="3"/>
        <v>2870.4690000000001</v>
      </c>
      <c r="E113" s="21">
        <f t="shared" si="4"/>
        <v>2726.9455499999999</v>
      </c>
      <c r="F113" s="18">
        <v>1</v>
      </c>
      <c r="G113" s="23" t="s">
        <v>197</v>
      </c>
      <c r="H113" s="22" t="s">
        <v>1058</v>
      </c>
      <c r="I113" s="22" t="s">
        <v>1065</v>
      </c>
      <c r="J113" s="22" t="s">
        <v>1154</v>
      </c>
      <c r="K113" s="11" t="s">
        <v>1467</v>
      </c>
      <c r="M113" s="17">
        <f>IFERROR(
IF(
$A113="","",
(VLOOKUP($G113,'nuevos productoss'!$A:$E,4,0))
),$C113)</f>
        <v>2819.1039999999998</v>
      </c>
      <c r="N113" s="17">
        <f>IFERROR(
IF(
$A113="","",
(VLOOKUP($G113,'nuevos productoss'!$A:$E,5,0))
),$C113)</f>
        <v>2389.0160000000001</v>
      </c>
      <c r="O113" s="17">
        <f t="shared" si="5"/>
        <v>430.08799999999974</v>
      </c>
    </row>
    <row r="114" spans="1:15" x14ac:dyDescent="0.3">
      <c r="A114" s="5" t="s">
        <v>198</v>
      </c>
      <c r="B114" s="20">
        <v>0</v>
      </c>
      <c r="C114" s="21">
        <v>2746.2539999999999</v>
      </c>
      <c r="D114" s="18">
        <f t="shared" si="3"/>
        <v>2746.2539999999999</v>
      </c>
      <c r="E114" s="21">
        <f t="shared" si="4"/>
        <v>2608.9413</v>
      </c>
      <c r="F114" s="18">
        <v>1</v>
      </c>
      <c r="G114" s="23" t="s">
        <v>199</v>
      </c>
      <c r="H114" s="22" t="s">
        <v>1058</v>
      </c>
      <c r="I114" s="22" t="s">
        <v>1065</v>
      </c>
      <c r="J114" s="22" t="s">
        <v>1154</v>
      </c>
      <c r="K114" s="11" t="s">
        <v>1467</v>
      </c>
      <c r="M114" s="17">
        <f>IFERROR(
IF(
$A114="","",
(VLOOKUP($G114,'nuevos productoss'!$A:$E,4,0))
),$C114)</f>
        <v>2697.0039999999999</v>
      </c>
      <c r="N114" s="17">
        <f>IFERROR(
IF(
$A114="","",
(VLOOKUP($G114,'nuevos productoss'!$A:$E,5,0))
),$C114)</f>
        <v>2285.712</v>
      </c>
      <c r="O114" s="17">
        <f t="shared" si="5"/>
        <v>411.29199999999992</v>
      </c>
    </row>
    <row r="115" spans="1:15" x14ac:dyDescent="0.3">
      <c r="A115" s="5" t="s">
        <v>200</v>
      </c>
      <c r="B115" s="20">
        <v>0</v>
      </c>
      <c r="C115" s="21">
        <v>2746.2539999999999</v>
      </c>
      <c r="D115" s="18">
        <f t="shared" si="3"/>
        <v>2746.2539999999999</v>
      </c>
      <c r="E115" s="21">
        <f t="shared" si="4"/>
        <v>2608.9413</v>
      </c>
      <c r="F115" s="18">
        <v>1</v>
      </c>
      <c r="G115" s="23" t="s">
        <v>201</v>
      </c>
      <c r="H115" s="22" t="s">
        <v>1058</v>
      </c>
      <c r="I115" s="22" t="s">
        <v>1065</v>
      </c>
      <c r="J115" s="22" t="s">
        <v>1154</v>
      </c>
      <c r="K115" s="11" t="s">
        <v>1467</v>
      </c>
      <c r="M115" s="17">
        <f>IFERROR(
IF(
$A115="","",
(VLOOKUP($G115,'nuevos productoss'!$A:$E,4,0))
),$C115)</f>
        <v>2697.0039999999999</v>
      </c>
      <c r="N115" s="17">
        <f>IFERROR(
IF(
$A115="","",
(VLOOKUP($G115,'nuevos productoss'!$A:$E,5,0))
),$C115)</f>
        <v>2285.712</v>
      </c>
      <c r="O115" s="17">
        <f t="shared" si="5"/>
        <v>411.29199999999992</v>
      </c>
    </row>
    <row r="116" spans="1:15" x14ac:dyDescent="0.3">
      <c r="A116" s="5" t="s">
        <v>202</v>
      </c>
      <c r="B116" s="20">
        <v>0</v>
      </c>
      <c r="C116" s="21">
        <v>2746.2539999999999</v>
      </c>
      <c r="D116" s="18">
        <f t="shared" si="3"/>
        <v>2746.2539999999999</v>
      </c>
      <c r="E116" s="21">
        <f t="shared" si="4"/>
        <v>2608.9413</v>
      </c>
      <c r="F116" s="18">
        <v>1</v>
      </c>
      <c r="G116" s="23" t="s">
        <v>203</v>
      </c>
      <c r="H116" s="22" t="s">
        <v>1058</v>
      </c>
      <c r="I116" s="22" t="s">
        <v>1065</v>
      </c>
      <c r="J116" s="22" t="s">
        <v>1154</v>
      </c>
      <c r="K116" s="11" t="s">
        <v>1467</v>
      </c>
      <c r="M116" s="17">
        <f>IFERROR(
IF(
$A116="","",
(VLOOKUP($G116,'nuevos productoss'!$A:$E,4,0))
),$C116)</f>
        <v>2697.0039999999999</v>
      </c>
      <c r="N116" s="17">
        <f>IFERROR(
IF(
$A116="","",
(VLOOKUP($G116,'nuevos productoss'!$A:$E,5,0))
),$C116)</f>
        <v>2285.712</v>
      </c>
      <c r="O116" s="17">
        <f t="shared" si="5"/>
        <v>411.29199999999992</v>
      </c>
    </row>
    <row r="117" spans="1:15" x14ac:dyDescent="0.3">
      <c r="A117" s="5" t="s">
        <v>204</v>
      </c>
      <c r="B117" s="20">
        <v>0</v>
      </c>
      <c r="C117" s="21">
        <v>3151.68</v>
      </c>
      <c r="D117" s="18">
        <f t="shared" si="3"/>
        <v>3151.68</v>
      </c>
      <c r="E117" s="21">
        <f t="shared" si="4"/>
        <v>2994.0959999999995</v>
      </c>
      <c r="F117" s="18">
        <v>1</v>
      </c>
      <c r="G117" s="23" t="s">
        <v>205</v>
      </c>
      <c r="H117" s="22" t="s">
        <v>1058</v>
      </c>
      <c r="I117" s="22" t="s">
        <v>1065</v>
      </c>
      <c r="J117" s="22" t="s">
        <v>1154</v>
      </c>
      <c r="K117" s="11" t="s">
        <v>1467</v>
      </c>
      <c r="M117" s="17">
        <f>IFERROR(
IF(
$A117="","",
(VLOOKUP($G117,'nuevos productoss'!$A:$E,4,0))
),$C117)</f>
        <v>3095.2719999999999</v>
      </c>
      <c r="N117" s="17">
        <f>IFERROR(
IF(
$A117="","",
(VLOOKUP($G117,'nuevos productoss'!$A:$E,5,0))
),$C117)</f>
        <v>2623.152</v>
      </c>
      <c r="O117" s="17">
        <f t="shared" si="5"/>
        <v>472.11999999999989</v>
      </c>
    </row>
    <row r="118" spans="1:15" x14ac:dyDescent="0.3">
      <c r="A118" s="5" t="s">
        <v>206</v>
      </c>
      <c r="B118" s="20">
        <v>0</v>
      </c>
      <c r="C118" s="21">
        <v>3143.8890000000001</v>
      </c>
      <c r="D118" s="18">
        <f t="shared" si="3"/>
        <v>3143.8890000000001</v>
      </c>
      <c r="E118" s="21">
        <f t="shared" si="4"/>
        <v>2986.6945500000002</v>
      </c>
      <c r="F118" s="18">
        <v>1</v>
      </c>
      <c r="G118" s="23" t="s">
        <v>207</v>
      </c>
      <c r="H118" s="22" t="s">
        <v>1058</v>
      </c>
      <c r="I118" s="22" t="s">
        <v>1065</v>
      </c>
      <c r="J118" s="22" t="s">
        <v>1154</v>
      </c>
      <c r="K118" s="11" t="s">
        <v>1467</v>
      </c>
      <c r="M118" s="17">
        <f>IFERROR(
IF(
$A118="","",
(VLOOKUP($G118,'nuevos productoss'!$A:$E,4,0))
),$C118)</f>
        <v>3087.576</v>
      </c>
      <c r="N118" s="17">
        <f>IFERROR(
IF(
$A118="","",
(VLOOKUP($G118,'nuevos productoss'!$A:$E,5,0))
),$C118)</f>
        <v>2616.64</v>
      </c>
      <c r="O118" s="17">
        <f t="shared" si="5"/>
        <v>470.93600000000015</v>
      </c>
    </row>
    <row r="119" spans="1:15" x14ac:dyDescent="0.3">
      <c r="A119" s="5" t="s">
        <v>208</v>
      </c>
      <c r="B119" s="20">
        <v>0</v>
      </c>
      <c r="C119" s="21">
        <v>3143.8890000000001</v>
      </c>
      <c r="D119" s="18">
        <f t="shared" si="3"/>
        <v>3143.8890000000001</v>
      </c>
      <c r="E119" s="21">
        <f t="shared" si="4"/>
        <v>2986.6945500000002</v>
      </c>
      <c r="F119" s="18">
        <v>1</v>
      </c>
      <c r="G119" s="23" t="s">
        <v>209</v>
      </c>
      <c r="H119" s="22" t="s">
        <v>1058</v>
      </c>
      <c r="I119" s="22" t="s">
        <v>1065</v>
      </c>
      <c r="J119" s="22" t="s">
        <v>1154</v>
      </c>
      <c r="K119" s="11" t="s">
        <v>1467</v>
      </c>
      <c r="M119" s="17">
        <f>IFERROR(
IF(
$A119="","",
(VLOOKUP($G119,'nuevos productoss'!$A:$E,4,0))
),$C119)</f>
        <v>3087.576</v>
      </c>
      <c r="N119" s="17">
        <f>IFERROR(
IF(
$A119="","",
(VLOOKUP($G119,'nuevos productoss'!$A:$E,5,0))
),$C119)</f>
        <v>2616.64</v>
      </c>
      <c r="O119" s="17">
        <f t="shared" si="5"/>
        <v>470.93600000000015</v>
      </c>
    </row>
    <row r="120" spans="1:15" x14ac:dyDescent="0.3">
      <c r="B120" s="20"/>
      <c r="C120" s="21"/>
      <c r="D120" s="18">
        <f t="shared" si="3"/>
        <v>0</v>
      </c>
      <c r="E120" s="21" t="str">
        <f t="shared" si="4"/>
        <v/>
      </c>
      <c r="F120" s="18"/>
      <c r="G120" s="5"/>
      <c r="H120" s="22" t="s">
        <v>1865</v>
      </c>
      <c r="I120" s="22" t="s">
        <v>1865</v>
      </c>
      <c r="J120" s="22" t="s">
        <v>1865</v>
      </c>
      <c r="K120" s="11" t="s">
        <v>1467</v>
      </c>
      <c r="M120" s="17" t="str">
        <f>IFERROR(
IF(
$A120="","",
(VLOOKUP($G120,'nuevos productoss'!$A:$E,4,0))
),$C120)</f>
        <v/>
      </c>
      <c r="N120" s="17" t="str">
        <f>IFERROR(
IF(
$A120="","",
(VLOOKUP($G120,'nuevos productoss'!$A:$E,5,0))
),$C120)</f>
        <v/>
      </c>
      <c r="O120" s="17">
        <f t="shared" si="5"/>
        <v>0</v>
      </c>
    </row>
    <row r="121" spans="1:15" x14ac:dyDescent="0.3">
      <c r="A121" s="5" t="s">
        <v>210</v>
      </c>
      <c r="B121" s="20">
        <v>0</v>
      </c>
      <c r="C121" s="21">
        <v>3148.5929999999998</v>
      </c>
      <c r="D121" s="18">
        <f t="shared" si="3"/>
        <v>3148.5929999999998</v>
      </c>
      <c r="E121" s="21">
        <f t="shared" si="4"/>
        <v>2991.1633499999998</v>
      </c>
      <c r="F121" s="18">
        <v>1</v>
      </c>
      <c r="G121" s="23" t="s">
        <v>211</v>
      </c>
      <c r="H121" s="22" t="s">
        <v>1058</v>
      </c>
      <c r="I121" s="22" t="s">
        <v>1065</v>
      </c>
      <c r="J121" s="22" t="s">
        <v>1154</v>
      </c>
      <c r="K121" s="11" t="s">
        <v>1467</v>
      </c>
      <c r="M121" s="17">
        <f>IFERROR(
IF(
$A121="","",
(VLOOKUP($G121,'nuevos productoss'!$A:$E,4,0))
),$C121)</f>
        <v>3170.0120000000002</v>
      </c>
      <c r="N121" s="17">
        <f>IFERROR(
IF(
$A121="","",
(VLOOKUP($G121,'nuevos productoss'!$A:$E,5,0))
),$C121)</f>
        <v>2306.2840000000001</v>
      </c>
      <c r="O121" s="17">
        <f t="shared" si="5"/>
        <v>863.72800000000007</v>
      </c>
    </row>
    <row r="122" spans="1:15" x14ac:dyDescent="0.3">
      <c r="A122" s="5" t="s">
        <v>212</v>
      </c>
      <c r="B122" s="20">
        <v>0</v>
      </c>
      <c r="C122" s="21">
        <v>4411.3230000000003</v>
      </c>
      <c r="D122" s="18">
        <f t="shared" si="3"/>
        <v>4411.3230000000003</v>
      </c>
      <c r="E122" s="21">
        <f t="shared" si="4"/>
        <v>4190.7568499999998</v>
      </c>
      <c r="F122" s="18">
        <v>1</v>
      </c>
      <c r="G122" s="23" t="s">
        <v>213</v>
      </c>
      <c r="H122" s="22" t="s">
        <v>1058</v>
      </c>
      <c r="I122" s="22" t="s">
        <v>1065</v>
      </c>
      <c r="J122" s="22" t="s">
        <v>1154</v>
      </c>
      <c r="K122" s="11" t="s">
        <v>1467</v>
      </c>
      <c r="M122" s="17">
        <f>IFERROR(
IF(
$A122="","",
(VLOOKUP($G122,'nuevos productoss'!$A:$E,4,0))
),$C122)</f>
        <v>4332.4040000000005</v>
      </c>
      <c r="N122" s="17">
        <f>IFERROR(
IF(
$A122="","",
(VLOOKUP($G122,'nuevos productoss'!$A:$E,5,0))
),$C122)</f>
        <v>3671.4360000000001</v>
      </c>
      <c r="O122" s="17">
        <f t="shared" si="5"/>
        <v>660.9680000000003</v>
      </c>
    </row>
    <row r="123" spans="1:15" x14ac:dyDescent="0.3">
      <c r="A123" s="5" t="s">
        <v>214</v>
      </c>
      <c r="B123" s="20">
        <v>0</v>
      </c>
      <c r="C123" s="21">
        <v>4411.3230000000003</v>
      </c>
      <c r="D123" s="18">
        <f t="shared" si="3"/>
        <v>4411.3230000000003</v>
      </c>
      <c r="E123" s="21">
        <f t="shared" si="4"/>
        <v>4190.7568499999998</v>
      </c>
      <c r="F123" s="18">
        <v>1</v>
      </c>
      <c r="G123" s="23" t="s">
        <v>215</v>
      </c>
      <c r="H123" s="22" t="s">
        <v>1058</v>
      </c>
      <c r="I123" s="22" t="s">
        <v>1065</v>
      </c>
      <c r="J123" s="22" t="s">
        <v>1154</v>
      </c>
      <c r="K123" s="11" t="s">
        <v>1467</v>
      </c>
      <c r="M123" s="17">
        <f>IFERROR(
IF(
$A123="","",
(VLOOKUP($G123,'nuevos productoss'!$A:$E,4,0))
),$C123)</f>
        <v>4332.4040000000005</v>
      </c>
      <c r="N123" s="17">
        <f>IFERROR(
IF(
$A123="","",
(VLOOKUP($G123,'nuevos productoss'!$A:$E,5,0))
),$C123)</f>
        <v>3671.4360000000001</v>
      </c>
      <c r="O123" s="17">
        <f t="shared" si="5"/>
        <v>660.9680000000003</v>
      </c>
    </row>
    <row r="124" spans="1:15" x14ac:dyDescent="0.3">
      <c r="A124" s="5" t="s">
        <v>216</v>
      </c>
      <c r="B124" s="20">
        <v>0</v>
      </c>
      <c r="C124" s="21">
        <v>4411.3230000000003</v>
      </c>
      <c r="D124" s="18">
        <f t="shared" si="3"/>
        <v>4411.3230000000003</v>
      </c>
      <c r="E124" s="21">
        <f t="shared" si="4"/>
        <v>4190.7568499999998</v>
      </c>
      <c r="F124" s="18">
        <v>1</v>
      </c>
      <c r="G124" s="23" t="s">
        <v>217</v>
      </c>
      <c r="H124" s="22" t="s">
        <v>1058</v>
      </c>
      <c r="I124" s="22" t="s">
        <v>1065</v>
      </c>
      <c r="J124" s="22" t="s">
        <v>1154</v>
      </c>
      <c r="K124" s="11" t="s">
        <v>1467</v>
      </c>
      <c r="M124" s="17">
        <f>IFERROR(
IF(
$A124="","",
(VLOOKUP($G124,'nuevos productoss'!$A:$E,4,0))
),$C124)</f>
        <v>4332.4040000000005</v>
      </c>
      <c r="N124" s="17">
        <f>IFERROR(
IF(
$A124="","",
(VLOOKUP($G124,'nuevos productoss'!$A:$E,5,0))
),$C124)</f>
        <v>3671.4360000000001</v>
      </c>
      <c r="O124" s="17">
        <f t="shared" si="5"/>
        <v>660.9680000000003</v>
      </c>
    </row>
    <row r="125" spans="1:15" x14ac:dyDescent="0.3">
      <c r="A125" s="5" t="s">
        <v>218</v>
      </c>
      <c r="B125" s="20">
        <v>0</v>
      </c>
      <c r="C125" s="21">
        <v>4377.366</v>
      </c>
      <c r="D125" s="18">
        <f t="shared" si="3"/>
        <v>4377.366</v>
      </c>
      <c r="E125" s="21">
        <f t="shared" si="4"/>
        <v>4158.4976999999999</v>
      </c>
      <c r="F125" s="18">
        <v>1</v>
      </c>
      <c r="G125" s="23" t="s">
        <v>219</v>
      </c>
      <c r="H125" s="22" t="s">
        <v>1058</v>
      </c>
      <c r="I125" s="22" t="s">
        <v>1065</v>
      </c>
      <c r="J125" s="22" t="s">
        <v>1154</v>
      </c>
      <c r="K125" s="11" t="s">
        <v>1467</v>
      </c>
      <c r="M125" s="17">
        <f>IFERROR(
IF(
$A125="","",
(VLOOKUP($G125,'nuevos productoss'!$A:$E,4,0))
),$C125)</f>
        <v>4298.5119999999997</v>
      </c>
      <c r="N125" s="17">
        <f>IFERROR(
IF(
$A125="","",
(VLOOKUP($G125,'nuevos productoss'!$A:$E,5,0))
),$C125)</f>
        <v>3642.8719999999998</v>
      </c>
      <c r="O125" s="17">
        <f t="shared" si="5"/>
        <v>655.63999999999987</v>
      </c>
    </row>
    <row r="126" spans="1:15" x14ac:dyDescent="0.3">
      <c r="A126" s="5" t="s">
        <v>220</v>
      </c>
      <c r="B126" s="20">
        <v>0</v>
      </c>
      <c r="C126" s="21">
        <v>7276.5</v>
      </c>
      <c r="D126" s="18">
        <f t="shared" si="3"/>
        <v>7276.5</v>
      </c>
      <c r="E126" s="21">
        <f t="shared" si="4"/>
        <v>6912.6749999999993</v>
      </c>
      <c r="F126" s="18">
        <v>1</v>
      </c>
      <c r="G126" s="23" t="s">
        <v>221</v>
      </c>
      <c r="H126" s="22" t="s">
        <v>1058</v>
      </c>
      <c r="I126" s="22" t="s">
        <v>1065</v>
      </c>
      <c r="J126" s="22" t="s">
        <v>1154</v>
      </c>
      <c r="K126" s="11" t="s">
        <v>1467</v>
      </c>
      <c r="M126" s="17">
        <f>IFERROR(
IF(
$A126="","",
(VLOOKUP($G126,'nuevos productoss'!$A:$E,4,0))
),$C126)</f>
        <v>7143.96</v>
      </c>
      <c r="N126" s="17">
        <f>IFERROR(
IF(
$A126="","",
(VLOOKUP($G126,'nuevos productoss'!$A:$E,5,0))
),$C126)</f>
        <v>6054.0879999999997</v>
      </c>
      <c r="O126" s="17">
        <f t="shared" si="5"/>
        <v>1089.8720000000003</v>
      </c>
    </row>
    <row r="127" spans="1:15" x14ac:dyDescent="0.3">
      <c r="A127" s="5" t="s">
        <v>222</v>
      </c>
      <c r="B127" s="20">
        <v>0</v>
      </c>
      <c r="C127" s="21">
        <v>7229.1660000000002</v>
      </c>
      <c r="D127" s="18">
        <f t="shared" si="3"/>
        <v>7229.1660000000002</v>
      </c>
      <c r="E127" s="21">
        <f t="shared" si="4"/>
        <v>6867.7076999999999</v>
      </c>
      <c r="F127" s="18">
        <v>1</v>
      </c>
      <c r="G127" s="23" t="s">
        <v>223</v>
      </c>
      <c r="H127" s="22" t="s">
        <v>1058</v>
      </c>
      <c r="I127" s="22" t="s">
        <v>1065</v>
      </c>
      <c r="J127" s="22" t="s">
        <v>1154</v>
      </c>
      <c r="K127" s="11" t="s">
        <v>1467</v>
      </c>
      <c r="M127" s="17">
        <f>IFERROR(
IF(
$A127="","",
(VLOOKUP($G127,'nuevos productoss'!$A:$E,4,0))
),$C127)</f>
        <v>7097.34</v>
      </c>
      <c r="N127" s="17">
        <f>IFERROR(
IF(
$A127="","",
(VLOOKUP($G127,'nuevos productoss'!$A:$E,5,0))
),$C127)</f>
        <v>6014.72</v>
      </c>
      <c r="O127" s="17">
        <f t="shared" si="5"/>
        <v>1082.6199999999999</v>
      </c>
    </row>
    <row r="128" spans="1:15" x14ac:dyDescent="0.3">
      <c r="A128" s="5" t="s">
        <v>224</v>
      </c>
      <c r="B128" s="20">
        <v>0</v>
      </c>
      <c r="C128" s="21">
        <v>7229.1660000000002</v>
      </c>
      <c r="D128" s="18">
        <f t="shared" si="3"/>
        <v>7229.1660000000002</v>
      </c>
      <c r="E128" s="21">
        <f t="shared" si="4"/>
        <v>6867.7076999999999</v>
      </c>
      <c r="F128" s="18">
        <v>1</v>
      </c>
      <c r="G128" s="23" t="s">
        <v>225</v>
      </c>
      <c r="H128" s="22" t="s">
        <v>1058</v>
      </c>
      <c r="I128" s="22" t="s">
        <v>1065</v>
      </c>
      <c r="J128" s="22" t="s">
        <v>1154</v>
      </c>
      <c r="K128" s="11" t="s">
        <v>1467</v>
      </c>
      <c r="M128" s="17">
        <f>IFERROR(
IF(
$A128="","",
(VLOOKUP($G128,'nuevos productoss'!$A:$E,4,0))
),$C128)</f>
        <v>7097.34</v>
      </c>
      <c r="N128" s="17">
        <f>IFERROR(
IF(
$A128="","",
(VLOOKUP($G128,'nuevos productoss'!$A:$E,5,0))
),$C128)</f>
        <v>6014.72</v>
      </c>
      <c r="O128" s="17">
        <f t="shared" si="5"/>
        <v>1082.6199999999999</v>
      </c>
    </row>
    <row r="129" spans="1:15" x14ac:dyDescent="0.3">
      <c r="A129" s="5" t="s">
        <v>226</v>
      </c>
      <c r="B129" s="20">
        <v>0</v>
      </c>
      <c r="C129" s="21">
        <v>7229.1660000000002</v>
      </c>
      <c r="D129" s="18">
        <f t="shared" si="3"/>
        <v>7229.1660000000002</v>
      </c>
      <c r="E129" s="21">
        <f t="shared" si="4"/>
        <v>6867.7076999999999</v>
      </c>
      <c r="F129" s="18">
        <v>1</v>
      </c>
      <c r="G129" s="23" t="s">
        <v>227</v>
      </c>
      <c r="H129" s="22" t="s">
        <v>1058</v>
      </c>
      <c r="I129" s="22" t="s">
        <v>1065</v>
      </c>
      <c r="J129" s="22" t="s">
        <v>1154</v>
      </c>
      <c r="K129" s="11" t="s">
        <v>1467</v>
      </c>
      <c r="M129" s="17">
        <f>IFERROR(
IF(
$A129="","",
(VLOOKUP($G129,'nuevos productoss'!$A:$E,4,0))
),$C129)</f>
        <v>7097.34</v>
      </c>
      <c r="N129" s="17">
        <f>IFERROR(
IF(
$A129="","",
(VLOOKUP($G129,'nuevos productoss'!$A:$E,5,0))
),$C129)</f>
        <v>6014.72</v>
      </c>
      <c r="O129" s="17">
        <f t="shared" si="5"/>
        <v>1082.6199999999999</v>
      </c>
    </row>
    <row r="130" spans="1:15" x14ac:dyDescent="0.3">
      <c r="A130" s="5" t="s">
        <v>228</v>
      </c>
      <c r="B130" s="20">
        <v>0</v>
      </c>
      <c r="C130" s="21">
        <v>9960.8670000000002</v>
      </c>
      <c r="D130" s="18">
        <f t="shared" si="3"/>
        <v>9960.8670000000002</v>
      </c>
      <c r="E130" s="21">
        <f t="shared" si="4"/>
        <v>9462.8236500000003</v>
      </c>
      <c r="F130" s="18">
        <v>1</v>
      </c>
      <c r="G130" s="23" t="s">
        <v>229</v>
      </c>
      <c r="H130" s="22" t="s">
        <v>1058</v>
      </c>
      <c r="I130" s="22" t="s">
        <v>1065</v>
      </c>
      <c r="J130" s="22" t="s">
        <v>1154</v>
      </c>
      <c r="K130" s="11" t="s">
        <v>1467</v>
      </c>
      <c r="M130" s="17">
        <f>IFERROR(
IF(
$A130="","",
(VLOOKUP($G130,'nuevos productoss'!$A:$E,4,0))
),$C130)</f>
        <v>9779.3960000000006</v>
      </c>
      <c r="N130" s="17">
        <f>IFERROR(
IF(
$A130="","",
(VLOOKUP($G130,'nuevos productoss'!$A:$E,5,0))
),$C130)</f>
        <v>8287.5560000000005</v>
      </c>
      <c r="O130" s="17">
        <f t="shared" si="5"/>
        <v>1491.8400000000001</v>
      </c>
    </row>
    <row r="131" spans="1:15" x14ac:dyDescent="0.3">
      <c r="A131" s="5" t="s">
        <v>230</v>
      </c>
      <c r="B131" s="20">
        <v>0</v>
      </c>
      <c r="C131" s="21">
        <v>9960.8670000000002</v>
      </c>
      <c r="D131" s="18">
        <f t="shared" ref="D131:D194" si="6">+C131</f>
        <v>9960.8670000000002</v>
      </c>
      <c r="E131" s="21">
        <f t="shared" ref="E131:E194" si="7">IF(
A131="","",
C131*0.95)</f>
        <v>9462.8236500000003</v>
      </c>
      <c r="F131" s="18">
        <v>1</v>
      </c>
      <c r="G131" s="23" t="s">
        <v>231</v>
      </c>
      <c r="H131" s="22" t="s">
        <v>1058</v>
      </c>
      <c r="I131" s="22" t="s">
        <v>1065</v>
      </c>
      <c r="J131" s="22" t="s">
        <v>1154</v>
      </c>
      <c r="K131" s="11" t="s">
        <v>1467</v>
      </c>
      <c r="M131" s="17">
        <f>IFERROR(
IF(
$A131="","",
(VLOOKUP($G131,'nuevos productoss'!$A:$E,4,0))
),$C131)</f>
        <v>9779.3960000000006</v>
      </c>
      <c r="N131" s="17">
        <f>IFERROR(
IF(
$A131="","",
(VLOOKUP($G131,'nuevos productoss'!$A:$E,5,0))
),$C131)</f>
        <v>8287.5560000000005</v>
      </c>
      <c r="O131" s="17">
        <f t="shared" ref="O131:O194" si="8">IFERROR(M131-N131,0)</f>
        <v>1491.8400000000001</v>
      </c>
    </row>
    <row r="132" spans="1:15" x14ac:dyDescent="0.3">
      <c r="A132" s="5" t="s">
        <v>232</v>
      </c>
      <c r="B132" s="20">
        <v>0</v>
      </c>
      <c r="C132" s="21">
        <v>9960.8670000000002</v>
      </c>
      <c r="D132" s="18">
        <f t="shared" si="6"/>
        <v>9960.8670000000002</v>
      </c>
      <c r="E132" s="21">
        <f t="shared" si="7"/>
        <v>9462.8236500000003</v>
      </c>
      <c r="F132" s="18">
        <v>1</v>
      </c>
      <c r="G132" s="23" t="s">
        <v>233</v>
      </c>
      <c r="H132" s="22" t="s">
        <v>1058</v>
      </c>
      <c r="I132" s="22" t="s">
        <v>1065</v>
      </c>
      <c r="J132" s="22" t="s">
        <v>1154</v>
      </c>
      <c r="K132" s="11" t="s">
        <v>1467</v>
      </c>
      <c r="M132" s="17">
        <f>IFERROR(
IF(
$A132="","",
(VLOOKUP($G132,'nuevos productoss'!$A:$E,4,0))
),$C132)</f>
        <v>9779.3960000000006</v>
      </c>
      <c r="N132" s="17">
        <f>IFERROR(
IF(
$A132="","",
(VLOOKUP($G132,'nuevos productoss'!$A:$E,5,0))
),$C132)</f>
        <v>8287.5560000000005</v>
      </c>
      <c r="O132" s="17">
        <f t="shared" si="8"/>
        <v>1491.8400000000001</v>
      </c>
    </row>
    <row r="133" spans="1:15" x14ac:dyDescent="0.3">
      <c r="A133" s="5" t="s">
        <v>234</v>
      </c>
      <c r="B133" s="20">
        <v>0</v>
      </c>
      <c r="C133" s="21">
        <v>9543.3870000000006</v>
      </c>
      <c r="D133" s="18">
        <f t="shared" si="6"/>
        <v>9543.3870000000006</v>
      </c>
      <c r="E133" s="21">
        <f t="shared" si="7"/>
        <v>9066.2176500000005</v>
      </c>
      <c r="F133" s="18">
        <v>1</v>
      </c>
      <c r="G133" s="23" t="s">
        <v>235</v>
      </c>
      <c r="H133" s="22" t="s">
        <v>1058</v>
      </c>
      <c r="I133" s="22" t="s">
        <v>1065</v>
      </c>
      <c r="J133" s="22" t="s">
        <v>1154</v>
      </c>
      <c r="K133" s="11" t="s">
        <v>1467</v>
      </c>
      <c r="M133" s="17">
        <f>IFERROR(
IF(
$A133="","",
(VLOOKUP($G133,'nuevos productoss'!$A:$E,4,0))
),$C133)</f>
        <v>9372.5439999999999</v>
      </c>
      <c r="N133" s="17">
        <f>IFERROR(
IF(
$A133="","",
(VLOOKUP($G133,'nuevos productoss'!$A:$E,5,0))
),$C133)</f>
        <v>7942.8639999999996</v>
      </c>
      <c r="O133" s="17">
        <f t="shared" si="8"/>
        <v>1429.6800000000003</v>
      </c>
    </row>
    <row r="134" spans="1:15" x14ac:dyDescent="0.3">
      <c r="B134" s="20"/>
      <c r="C134" s="21"/>
      <c r="D134" s="18">
        <f t="shared" si="6"/>
        <v>0</v>
      </c>
      <c r="E134" s="21" t="str">
        <f t="shared" si="7"/>
        <v/>
      </c>
      <c r="F134" s="18"/>
      <c r="G134" s="5"/>
      <c r="H134" s="22" t="s">
        <v>1865</v>
      </c>
      <c r="I134" s="22" t="s">
        <v>1865</v>
      </c>
      <c r="J134" s="22" t="s">
        <v>1865</v>
      </c>
      <c r="K134" s="11" t="s">
        <v>1467</v>
      </c>
      <c r="M134" s="17" t="str">
        <f>IFERROR(
IF(
$A134="","",
(VLOOKUP($G134,'nuevos productoss'!$A:$E,4,0))
),$C134)</f>
        <v/>
      </c>
      <c r="N134" s="17" t="str">
        <f>IFERROR(
IF(
$A134="","",
(VLOOKUP($G134,'nuevos productoss'!$A:$E,5,0))
),$C134)</f>
        <v/>
      </c>
      <c r="O134" s="17">
        <f t="shared" si="8"/>
        <v>0</v>
      </c>
    </row>
    <row r="135" spans="1:15" x14ac:dyDescent="0.3">
      <c r="A135" s="5" t="s">
        <v>236</v>
      </c>
      <c r="B135" s="20">
        <v>0</v>
      </c>
      <c r="C135" s="21">
        <v>11113.788</v>
      </c>
      <c r="D135" s="18">
        <f t="shared" si="6"/>
        <v>11113.788</v>
      </c>
      <c r="E135" s="21">
        <f t="shared" si="7"/>
        <v>10558.098599999999</v>
      </c>
      <c r="F135" s="18">
        <v>1</v>
      </c>
      <c r="G135" s="23" t="s">
        <v>237</v>
      </c>
      <c r="H135" s="22" t="s">
        <v>1058</v>
      </c>
      <c r="I135" s="22" t="s">
        <v>1065</v>
      </c>
      <c r="J135" s="22" t="s">
        <v>1155</v>
      </c>
      <c r="K135" s="11" t="s">
        <v>1467</v>
      </c>
      <c r="M135" s="17">
        <f>IFERROR(
IF(
$A135="","",
(VLOOKUP($G135,'nuevos productoss'!$A:$E,4,0))
),$C135)</f>
        <v>10981.748</v>
      </c>
      <c r="N135" s="17">
        <f>IFERROR(
IF(
$A135="","",
(VLOOKUP($G135,'nuevos productoss'!$A:$E,5,0))
),$C135)</f>
        <v>9306.5360000000001</v>
      </c>
      <c r="O135" s="17">
        <f t="shared" si="8"/>
        <v>1675.2119999999995</v>
      </c>
    </row>
    <row r="136" spans="1:15" x14ac:dyDescent="0.3">
      <c r="A136" s="5" t="s">
        <v>238</v>
      </c>
      <c r="B136" s="20">
        <v>0</v>
      </c>
      <c r="C136" s="21">
        <v>11040.876</v>
      </c>
      <c r="D136" s="18">
        <f t="shared" si="6"/>
        <v>11040.876</v>
      </c>
      <c r="E136" s="21">
        <f t="shared" si="7"/>
        <v>10488.832199999999</v>
      </c>
      <c r="F136" s="18">
        <v>1</v>
      </c>
      <c r="G136" s="23" t="s">
        <v>239</v>
      </c>
      <c r="H136" s="22" t="s">
        <v>1058</v>
      </c>
      <c r="I136" s="22" t="s">
        <v>1065</v>
      </c>
      <c r="J136" s="22" t="s">
        <v>1156</v>
      </c>
      <c r="K136" s="11" t="s">
        <v>1467</v>
      </c>
      <c r="M136" s="17">
        <f>IFERROR(
IF(
$A136="","",
(VLOOKUP($G136,'nuevos productoss'!$A:$E,4,0))
),$C136)</f>
        <v>10909.968000000001</v>
      </c>
      <c r="N136" s="17">
        <f>IFERROR(
IF(
$A136="","",
(VLOOKUP($G136,'nuevos productoss'!$A:$E,5,0))
),$C136)</f>
        <v>9245.8559999999998</v>
      </c>
      <c r="O136" s="17">
        <f t="shared" si="8"/>
        <v>1664.112000000001</v>
      </c>
    </row>
    <row r="137" spans="1:15" x14ac:dyDescent="0.3">
      <c r="A137" s="5" t="s">
        <v>240</v>
      </c>
      <c r="B137" s="20">
        <v>0</v>
      </c>
      <c r="C137" s="21">
        <v>13569.129000000001</v>
      </c>
      <c r="D137" s="18">
        <f t="shared" si="6"/>
        <v>13569.129000000001</v>
      </c>
      <c r="E137" s="21">
        <f t="shared" si="7"/>
        <v>12890.672549999999</v>
      </c>
      <c r="F137" s="18">
        <v>1</v>
      </c>
      <c r="G137" s="23" t="s">
        <v>241</v>
      </c>
      <c r="H137" s="22" t="s">
        <v>1058</v>
      </c>
      <c r="I137" s="22" t="s">
        <v>1065</v>
      </c>
      <c r="J137" s="22" t="s">
        <v>1157</v>
      </c>
      <c r="K137" s="11" t="s">
        <v>1467</v>
      </c>
      <c r="M137" s="17">
        <f>IFERROR(
IF(
$A137="","",
(VLOOKUP($G137,'nuevos productoss'!$A:$E,4,0))
),$C137)</f>
        <v>13405.396000000001</v>
      </c>
      <c r="N137" s="17">
        <f>IFERROR(
IF(
$A137="","",
(VLOOKUP($G137,'nuevos productoss'!$A:$E,5,0))
),$C137)</f>
        <v>11360.48</v>
      </c>
      <c r="O137" s="17">
        <f t="shared" si="8"/>
        <v>2044.9160000000011</v>
      </c>
    </row>
    <row r="138" spans="1:15" x14ac:dyDescent="0.3">
      <c r="A138" s="5" t="s">
        <v>242</v>
      </c>
      <c r="B138" s="20">
        <v>0</v>
      </c>
      <c r="C138" s="21">
        <v>10241.49</v>
      </c>
      <c r="D138" s="18">
        <f t="shared" si="6"/>
        <v>10241.49</v>
      </c>
      <c r="E138" s="21">
        <f t="shared" si="7"/>
        <v>9729.4154999999992</v>
      </c>
      <c r="F138" s="18">
        <v>1</v>
      </c>
      <c r="G138" s="23" t="s">
        <v>243</v>
      </c>
      <c r="H138" s="22" t="s">
        <v>1058</v>
      </c>
      <c r="I138" s="22" t="s">
        <v>1065</v>
      </c>
      <c r="J138" s="22" t="s">
        <v>1157</v>
      </c>
      <c r="K138" s="11" t="s">
        <v>1467</v>
      </c>
      <c r="M138" s="17">
        <f>IFERROR(
IF(
$A138="","",
(VLOOKUP($G138,'nuevos productoss'!$A:$E,4,0))
),$C138)</f>
        <v>10122.164000000001</v>
      </c>
      <c r="N138" s="17">
        <f>IFERROR(
IF(
$A138="","",
(VLOOKUP($G138,'nuevos productoss'!$A:$E,5,0))
),$C138)</f>
        <v>8578.08</v>
      </c>
      <c r="O138" s="17">
        <f t="shared" si="8"/>
        <v>1544.0840000000007</v>
      </c>
    </row>
    <row r="139" spans="1:15" x14ac:dyDescent="0.3">
      <c r="A139" s="5" t="s">
        <v>244</v>
      </c>
      <c r="B139" s="20">
        <v>0</v>
      </c>
      <c r="C139" s="21">
        <v>8004.2969999999996</v>
      </c>
      <c r="D139" s="18">
        <f t="shared" si="6"/>
        <v>8004.2969999999996</v>
      </c>
      <c r="E139" s="21">
        <f t="shared" si="7"/>
        <v>7604.0821499999993</v>
      </c>
      <c r="F139" s="18">
        <v>1</v>
      </c>
      <c r="G139" s="23" t="s">
        <v>245</v>
      </c>
      <c r="H139" s="22" t="s">
        <v>1058</v>
      </c>
      <c r="I139" s="22" t="s">
        <v>1065</v>
      </c>
      <c r="J139" s="22" t="s">
        <v>1157</v>
      </c>
      <c r="K139" s="11" t="s">
        <v>1467</v>
      </c>
      <c r="M139" s="17">
        <f>IFERROR(
IF(
$A139="","",
(VLOOKUP($G139,'nuevos productoss'!$A:$E,4,0))
),$C139)</f>
        <v>7911.0439999999999</v>
      </c>
      <c r="N139" s="17">
        <f>IFERROR(
IF(
$A139="","",
(VLOOKUP($G139,'nuevos productoss'!$A:$E,5,0))
),$C139)</f>
        <v>6704.2520000000004</v>
      </c>
      <c r="O139" s="17">
        <f t="shared" si="8"/>
        <v>1206.7919999999995</v>
      </c>
    </row>
    <row r="140" spans="1:15" x14ac:dyDescent="0.3">
      <c r="A140" s="5" t="s">
        <v>246</v>
      </c>
      <c r="B140" s="20">
        <v>0</v>
      </c>
      <c r="C140" s="21">
        <v>8004.2969999999996</v>
      </c>
      <c r="D140" s="18">
        <f t="shared" si="6"/>
        <v>8004.2969999999996</v>
      </c>
      <c r="E140" s="21">
        <f t="shared" si="7"/>
        <v>7604.0821499999993</v>
      </c>
      <c r="F140" s="18">
        <v>1</v>
      </c>
      <c r="G140" s="23" t="s">
        <v>247</v>
      </c>
      <c r="H140" s="22" t="s">
        <v>1058</v>
      </c>
      <c r="I140" s="22" t="s">
        <v>1065</v>
      </c>
      <c r="J140" s="22" t="s">
        <v>1157</v>
      </c>
      <c r="K140" s="11" t="s">
        <v>1467</v>
      </c>
      <c r="M140" s="17">
        <f>IFERROR(
IF(
$A140="","",
(VLOOKUP($G140,'nuevos productoss'!$A:$E,4,0))
),$C140)</f>
        <v>7911.0439999999999</v>
      </c>
      <c r="N140" s="17">
        <f>IFERROR(
IF(
$A140="","",
(VLOOKUP($G140,'nuevos productoss'!$A:$E,5,0))
),$C140)</f>
        <v>6704.2520000000004</v>
      </c>
      <c r="O140" s="17">
        <f t="shared" si="8"/>
        <v>1206.7919999999995</v>
      </c>
    </row>
    <row r="141" spans="1:15" x14ac:dyDescent="0.3">
      <c r="A141" s="5" t="s">
        <v>248</v>
      </c>
      <c r="B141" s="20">
        <v>0</v>
      </c>
      <c r="C141" s="21">
        <v>8004.2969999999996</v>
      </c>
      <c r="D141" s="18">
        <f t="shared" si="6"/>
        <v>8004.2969999999996</v>
      </c>
      <c r="E141" s="21">
        <f t="shared" si="7"/>
        <v>7604.0821499999993</v>
      </c>
      <c r="F141" s="18">
        <v>1</v>
      </c>
      <c r="G141" s="23" t="s">
        <v>249</v>
      </c>
      <c r="H141" s="22" t="s">
        <v>1058</v>
      </c>
      <c r="I141" s="22" t="s">
        <v>1065</v>
      </c>
      <c r="J141" s="22" t="s">
        <v>1157</v>
      </c>
      <c r="K141" s="11" t="s">
        <v>1467</v>
      </c>
      <c r="M141" s="17">
        <f>IFERROR(
IF(
$A141="","",
(VLOOKUP($G141,'nuevos productoss'!$A:$E,4,0))
),$C141)</f>
        <v>7911.0439999999999</v>
      </c>
      <c r="N141" s="17">
        <f>IFERROR(
IF(
$A141="","",
(VLOOKUP($G141,'nuevos productoss'!$A:$E,5,0))
),$C141)</f>
        <v>6704.2520000000004</v>
      </c>
      <c r="O141" s="17">
        <f t="shared" si="8"/>
        <v>1206.7919999999995</v>
      </c>
    </row>
    <row r="142" spans="1:15" x14ac:dyDescent="0.3">
      <c r="A142" s="5" t="s">
        <v>250</v>
      </c>
      <c r="B142" s="20">
        <v>0</v>
      </c>
      <c r="C142" s="21">
        <v>17338.356</v>
      </c>
      <c r="D142" s="18">
        <f t="shared" si="6"/>
        <v>17338.356</v>
      </c>
      <c r="E142" s="21">
        <f t="shared" si="7"/>
        <v>16471.438200000001</v>
      </c>
      <c r="F142" s="18">
        <v>1</v>
      </c>
      <c r="G142" s="23" t="s">
        <v>251</v>
      </c>
      <c r="H142" s="22" t="s">
        <v>1058</v>
      </c>
      <c r="I142" s="22" t="s">
        <v>1065</v>
      </c>
      <c r="J142" s="22" t="s">
        <v>1157</v>
      </c>
      <c r="K142" s="11" t="s">
        <v>1467</v>
      </c>
      <c r="M142" s="17">
        <f>IFERROR(
IF(
$A142="","",
(VLOOKUP($G142,'nuevos productoss'!$A:$E,4,0))
),$C142)</f>
        <v>17136.475999999999</v>
      </c>
      <c r="N142" s="17">
        <f>IFERROR(
IF(
$A142="","",
(VLOOKUP($G142,'nuevos productoss'!$A:$E,5,0))
),$C142)</f>
        <v>14522.5</v>
      </c>
      <c r="O142" s="17">
        <f t="shared" si="8"/>
        <v>2613.9759999999987</v>
      </c>
    </row>
    <row r="143" spans="1:15" x14ac:dyDescent="0.3">
      <c r="A143" s="5" t="s">
        <v>252</v>
      </c>
      <c r="B143" s="20">
        <v>0</v>
      </c>
      <c r="C143" s="21">
        <v>16571.751</v>
      </c>
      <c r="D143" s="18">
        <f t="shared" si="6"/>
        <v>16571.751</v>
      </c>
      <c r="E143" s="21">
        <f t="shared" si="7"/>
        <v>15743.16345</v>
      </c>
      <c r="F143" s="18">
        <v>1</v>
      </c>
      <c r="G143" s="23" t="s">
        <v>253</v>
      </c>
      <c r="H143" s="22" t="s">
        <v>1058</v>
      </c>
      <c r="I143" s="22" t="s">
        <v>1065</v>
      </c>
      <c r="J143" s="22" t="s">
        <v>1157</v>
      </c>
      <c r="K143" s="11" t="s">
        <v>1467</v>
      </c>
      <c r="M143" s="17">
        <f>IFERROR(
IF(
$A143="","",
(VLOOKUP($G143,'nuevos productoss'!$A:$E,4,0))
),$C143)</f>
        <v>16378.864</v>
      </c>
      <c r="N143" s="17">
        <f>IFERROR(
IF(
$A143="","",
(VLOOKUP($G143,'nuevos productoss'!$A:$E,5,0))
),$C143)</f>
        <v>13880.328</v>
      </c>
      <c r="O143" s="17">
        <f t="shared" si="8"/>
        <v>2498.5360000000001</v>
      </c>
    </row>
    <row r="144" spans="1:15" x14ac:dyDescent="0.3">
      <c r="A144" s="5" t="s">
        <v>254</v>
      </c>
      <c r="B144" s="20">
        <v>0</v>
      </c>
      <c r="C144" s="21">
        <v>16571.751</v>
      </c>
      <c r="D144" s="18">
        <f t="shared" si="6"/>
        <v>16571.751</v>
      </c>
      <c r="E144" s="21">
        <f t="shared" si="7"/>
        <v>15743.16345</v>
      </c>
      <c r="F144" s="18">
        <v>1</v>
      </c>
      <c r="G144" s="23" t="s">
        <v>255</v>
      </c>
      <c r="H144" s="22" t="s">
        <v>1058</v>
      </c>
      <c r="I144" s="22" t="s">
        <v>1065</v>
      </c>
      <c r="J144" s="22" t="s">
        <v>1157</v>
      </c>
      <c r="K144" s="11" t="s">
        <v>1467</v>
      </c>
      <c r="M144" s="17">
        <f>IFERROR(
IF(
$A144="","",
(VLOOKUP($G144,'nuevos productoss'!$A:$E,4,0))
),$C144)</f>
        <v>16378.864</v>
      </c>
      <c r="N144" s="17">
        <f>IFERROR(
IF(
$A144="","",
(VLOOKUP($G144,'nuevos productoss'!$A:$E,5,0))
),$C144)</f>
        <v>13880.328</v>
      </c>
      <c r="O144" s="17">
        <f t="shared" si="8"/>
        <v>2498.5360000000001</v>
      </c>
    </row>
    <row r="145" spans="1:15" x14ac:dyDescent="0.3">
      <c r="A145" s="5" t="s">
        <v>256</v>
      </c>
      <c r="B145" s="20">
        <v>0</v>
      </c>
      <c r="C145" s="21">
        <v>16571.751</v>
      </c>
      <c r="D145" s="18">
        <f t="shared" si="6"/>
        <v>16571.751</v>
      </c>
      <c r="E145" s="21">
        <f t="shared" si="7"/>
        <v>15743.16345</v>
      </c>
      <c r="F145" s="18">
        <v>1</v>
      </c>
      <c r="G145" s="23" t="s">
        <v>257</v>
      </c>
      <c r="H145" s="22" t="s">
        <v>1058</v>
      </c>
      <c r="I145" s="22" t="s">
        <v>1065</v>
      </c>
      <c r="J145" s="22" t="s">
        <v>1157</v>
      </c>
      <c r="K145" s="11" t="s">
        <v>1467</v>
      </c>
      <c r="M145" s="17">
        <f>IFERROR(
IF(
$A145="","",
(VLOOKUP($G145,'nuevos productoss'!$A:$E,4,0))
),$C145)</f>
        <v>16378.864</v>
      </c>
      <c r="N145" s="17">
        <f>IFERROR(
IF(
$A145="","",
(VLOOKUP($G145,'nuevos productoss'!$A:$E,5,0))
),$C145)</f>
        <v>13880.328</v>
      </c>
      <c r="O145" s="17">
        <f t="shared" si="8"/>
        <v>2498.5360000000001</v>
      </c>
    </row>
    <row r="146" spans="1:15" x14ac:dyDescent="0.3">
      <c r="A146" s="5" t="s">
        <v>258</v>
      </c>
      <c r="B146" s="20">
        <v>0</v>
      </c>
      <c r="C146" s="21">
        <v>20916.335999999999</v>
      </c>
      <c r="D146" s="18">
        <f t="shared" si="6"/>
        <v>20916.335999999999</v>
      </c>
      <c r="E146" s="21">
        <f t="shared" si="7"/>
        <v>19870.519199999999</v>
      </c>
      <c r="F146" s="18">
        <v>1</v>
      </c>
      <c r="G146" s="23" t="s">
        <v>259</v>
      </c>
      <c r="H146" s="22" t="s">
        <v>1058</v>
      </c>
      <c r="I146" s="22" t="s">
        <v>1065</v>
      </c>
      <c r="J146" s="22" t="s">
        <v>1157</v>
      </c>
      <c r="K146" s="11" t="s">
        <v>1467</v>
      </c>
      <c r="M146" s="17">
        <f>IFERROR(
IF(
$A146="","",
(VLOOKUP($G146,'nuevos productoss'!$A:$E,4,0))
),$C146)</f>
        <v>20674.268</v>
      </c>
      <c r="N146" s="17">
        <f>IFERROR(
IF(
$A146="","",
(VLOOKUP($G146,'nuevos productoss'!$A:$E,5,0))
),$C146)</f>
        <v>17520.536</v>
      </c>
      <c r="O146" s="17">
        <f t="shared" si="8"/>
        <v>3153.732</v>
      </c>
    </row>
    <row r="147" spans="1:15" x14ac:dyDescent="0.3">
      <c r="A147" s="5" t="s">
        <v>260</v>
      </c>
      <c r="B147" s="20">
        <v>0</v>
      </c>
      <c r="C147" s="21">
        <v>16746.093000000001</v>
      </c>
      <c r="D147" s="18">
        <f t="shared" si="6"/>
        <v>16746.093000000001</v>
      </c>
      <c r="E147" s="21">
        <f t="shared" si="7"/>
        <v>15908.788350000001</v>
      </c>
      <c r="F147" s="18">
        <v>1</v>
      </c>
      <c r="G147" s="23" t="s">
        <v>261</v>
      </c>
      <c r="H147" s="22" t="s">
        <v>1058</v>
      </c>
      <c r="I147" s="22" t="s">
        <v>1065</v>
      </c>
      <c r="J147" s="22" t="s">
        <v>1157</v>
      </c>
      <c r="K147" s="11" t="s">
        <v>1467</v>
      </c>
      <c r="M147" s="17">
        <f>IFERROR(
IF(
$A147="","",
(VLOOKUP($G147,'nuevos productoss'!$A:$E,4,0))
),$C147)</f>
        <v>16552.171999999999</v>
      </c>
      <c r="N147" s="17">
        <f>IFERROR(
IF(
$A147="","",
(VLOOKUP($G147,'nuevos productoss'!$A:$E,5,0))
),$C147)</f>
        <v>14027.291999999999</v>
      </c>
      <c r="O147" s="17">
        <f t="shared" si="8"/>
        <v>2524.8799999999992</v>
      </c>
    </row>
    <row r="148" spans="1:15" x14ac:dyDescent="0.3">
      <c r="A148" s="5" t="s">
        <v>262</v>
      </c>
      <c r="B148" s="20">
        <v>0</v>
      </c>
      <c r="C148" s="21">
        <v>16746.093000000001</v>
      </c>
      <c r="D148" s="18">
        <f t="shared" si="6"/>
        <v>16746.093000000001</v>
      </c>
      <c r="E148" s="21">
        <f t="shared" si="7"/>
        <v>15908.788350000001</v>
      </c>
      <c r="F148" s="18">
        <v>1</v>
      </c>
      <c r="G148" s="23" t="s">
        <v>263</v>
      </c>
      <c r="H148" s="22" t="s">
        <v>1058</v>
      </c>
      <c r="I148" s="22" t="s">
        <v>1065</v>
      </c>
      <c r="J148" s="22" t="s">
        <v>1157</v>
      </c>
      <c r="K148" s="11" t="s">
        <v>1467</v>
      </c>
      <c r="M148" s="17">
        <f>IFERROR(
IF(
$A148="","",
(VLOOKUP($G148,'nuevos productoss'!$A:$E,4,0))
),$C148)</f>
        <v>16552.171999999999</v>
      </c>
      <c r="N148" s="17">
        <f>IFERROR(
IF(
$A148="","",
(VLOOKUP($G148,'nuevos productoss'!$A:$E,5,0))
),$C148)</f>
        <v>14027.291999999999</v>
      </c>
      <c r="O148" s="17">
        <f t="shared" si="8"/>
        <v>2524.8799999999992</v>
      </c>
    </row>
    <row r="149" spans="1:15" x14ac:dyDescent="0.3">
      <c r="A149" s="5" t="s">
        <v>264</v>
      </c>
      <c r="B149" s="20">
        <v>0</v>
      </c>
      <c r="C149" s="21">
        <v>16746.093000000001</v>
      </c>
      <c r="D149" s="18">
        <f t="shared" si="6"/>
        <v>16746.093000000001</v>
      </c>
      <c r="E149" s="21">
        <f t="shared" si="7"/>
        <v>15908.788350000001</v>
      </c>
      <c r="F149" s="18">
        <v>1</v>
      </c>
      <c r="G149" s="23" t="s">
        <v>265</v>
      </c>
      <c r="H149" s="22" t="s">
        <v>1058</v>
      </c>
      <c r="I149" s="22" t="s">
        <v>1065</v>
      </c>
      <c r="J149" s="22" t="s">
        <v>1157</v>
      </c>
      <c r="K149" s="11" t="s">
        <v>1467</v>
      </c>
      <c r="M149" s="17">
        <f>IFERROR(
IF(
$A149="","",
(VLOOKUP($G149,'nuevos productoss'!$A:$E,4,0))
),$C149)</f>
        <v>16552.171999999999</v>
      </c>
      <c r="N149" s="17">
        <f>IFERROR(
IF(
$A149="","",
(VLOOKUP($G149,'nuevos productoss'!$A:$E,5,0))
),$C149)</f>
        <v>14027.291999999999</v>
      </c>
      <c r="O149" s="17">
        <f t="shared" si="8"/>
        <v>2524.8799999999992</v>
      </c>
    </row>
    <row r="150" spans="1:15" x14ac:dyDescent="0.3">
      <c r="A150" s="5" t="s">
        <v>266</v>
      </c>
      <c r="B150" s="20">
        <v>0</v>
      </c>
      <c r="C150" s="21">
        <v>15698.277</v>
      </c>
      <c r="D150" s="18">
        <f t="shared" si="6"/>
        <v>15698.277</v>
      </c>
      <c r="E150" s="21">
        <f t="shared" si="7"/>
        <v>14913.363149999999</v>
      </c>
      <c r="F150" s="18">
        <v>1</v>
      </c>
      <c r="G150" s="23" t="s">
        <v>267</v>
      </c>
      <c r="H150" s="22" t="s">
        <v>1058</v>
      </c>
      <c r="I150" s="22" t="s">
        <v>1065</v>
      </c>
      <c r="J150" s="22" t="s">
        <v>1157</v>
      </c>
      <c r="K150" s="11" t="s">
        <v>1467</v>
      </c>
      <c r="M150" s="17">
        <f>IFERROR(
IF(
$A150="","",
(VLOOKUP($G150,'nuevos productoss'!$A:$E,4,0))
),$C150)</f>
        <v>15516.023999999999</v>
      </c>
      <c r="N150" s="17">
        <f>IFERROR(
IF(
$A150="","",
(VLOOKUP($G150,'nuevos productoss'!$A:$E,5,0))
),$C150)</f>
        <v>13149.208000000001</v>
      </c>
      <c r="O150" s="17">
        <f t="shared" si="8"/>
        <v>2366.8159999999989</v>
      </c>
    </row>
    <row r="151" spans="1:15" x14ac:dyDescent="0.3">
      <c r="A151" s="5" t="s">
        <v>268</v>
      </c>
      <c r="B151" s="20">
        <v>0</v>
      </c>
      <c r="C151" s="21">
        <v>15185.540999999999</v>
      </c>
      <c r="D151" s="18">
        <f t="shared" si="6"/>
        <v>15185.540999999999</v>
      </c>
      <c r="E151" s="21">
        <f t="shared" si="7"/>
        <v>14426.263949999999</v>
      </c>
      <c r="F151" s="18">
        <v>1</v>
      </c>
      <c r="G151" s="23" t="s">
        <v>269</v>
      </c>
      <c r="H151" s="22" t="s">
        <v>1058</v>
      </c>
      <c r="I151" s="22" t="s">
        <v>1065</v>
      </c>
      <c r="J151" s="22" t="s">
        <v>1157</v>
      </c>
      <c r="K151" s="11" t="s">
        <v>1467</v>
      </c>
      <c r="M151" s="17">
        <f>IFERROR(
IF(
$A151="","",
(VLOOKUP($G151,'nuevos productoss'!$A:$E,4,0))
),$C151)</f>
        <v>15010.16</v>
      </c>
      <c r="N151" s="17">
        <f>IFERROR(
IF(
$A151="","",
(VLOOKUP($G151,'nuevos productoss'!$A:$E,5,0))
),$C151)</f>
        <v>12720.6</v>
      </c>
      <c r="O151" s="17">
        <f t="shared" si="8"/>
        <v>2289.5599999999995</v>
      </c>
    </row>
    <row r="152" spans="1:15" x14ac:dyDescent="0.3">
      <c r="A152" s="5" t="s">
        <v>270</v>
      </c>
      <c r="B152" s="20">
        <v>0</v>
      </c>
      <c r="C152" s="21">
        <v>15031.044</v>
      </c>
      <c r="D152" s="18">
        <f t="shared" si="6"/>
        <v>15031.044</v>
      </c>
      <c r="E152" s="21">
        <f t="shared" si="7"/>
        <v>14279.4918</v>
      </c>
      <c r="F152" s="18">
        <v>1</v>
      </c>
      <c r="G152" s="23" t="s">
        <v>271</v>
      </c>
      <c r="H152" s="22" t="s">
        <v>1058</v>
      </c>
      <c r="I152" s="22" t="s">
        <v>1065</v>
      </c>
      <c r="J152" s="22" t="s">
        <v>1157</v>
      </c>
      <c r="K152" s="11" t="s">
        <v>1467</v>
      </c>
      <c r="M152" s="17">
        <f>IFERROR(
IF(
$A152="","",
(VLOOKUP($G152,'nuevos productoss'!$A:$E,4,0))
),$C152)</f>
        <v>14856.388000000001</v>
      </c>
      <c r="N152" s="17">
        <f>IFERROR(
IF(
$A152="","",
(VLOOKUP($G152,'nuevos productoss'!$A:$E,5,0))
),$C152)</f>
        <v>12590.212</v>
      </c>
      <c r="O152" s="17">
        <f t="shared" si="8"/>
        <v>2266.1760000000013</v>
      </c>
    </row>
    <row r="153" spans="1:15" x14ac:dyDescent="0.3">
      <c r="A153" s="5" t="s">
        <v>272</v>
      </c>
      <c r="B153" s="20">
        <v>0</v>
      </c>
      <c r="C153" s="21">
        <v>15031.044</v>
      </c>
      <c r="D153" s="18">
        <f t="shared" si="6"/>
        <v>15031.044</v>
      </c>
      <c r="E153" s="21">
        <f t="shared" si="7"/>
        <v>14279.4918</v>
      </c>
      <c r="F153" s="18">
        <v>1</v>
      </c>
      <c r="G153" s="23" t="s">
        <v>273</v>
      </c>
      <c r="H153" s="22" t="s">
        <v>1058</v>
      </c>
      <c r="I153" s="22" t="s">
        <v>1065</v>
      </c>
      <c r="J153" s="22" t="s">
        <v>1157</v>
      </c>
      <c r="K153" s="11" t="s">
        <v>1467</v>
      </c>
      <c r="M153" s="17">
        <f>IFERROR(
IF(
$A153="","",
(VLOOKUP($G153,'nuevos productoss'!$A:$E,4,0))
),$C153)</f>
        <v>14856.388000000001</v>
      </c>
      <c r="N153" s="17">
        <f>IFERROR(
IF(
$A153="","",
(VLOOKUP($G153,'nuevos productoss'!$A:$E,5,0))
),$C153)</f>
        <v>12590.212</v>
      </c>
      <c r="O153" s="17">
        <f t="shared" si="8"/>
        <v>2266.1760000000013</v>
      </c>
    </row>
    <row r="154" spans="1:15" x14ac:dyDescent="0.3">
      <c r="A154" s="5" t="s">
        <v>274</v>
      </c>
      <c r="B154" s="20">
        <v>0</v>
      </c>
      <c r="C154" s="21">
        <v>4910.5349999999999</v>
      </c>
      <c r="D154" s="18">
        <f t="shared" si="6"/>
        <v>4910.5349999999999</v>
      </c>
      <c r="E154" s="21">
        <f t="shared" si="7"/>
        <v>4665.0082499999999</v>
      </c>
      <c r="F154" s="18">
        <v>1</v>
      </c>
      <c r="G154" s="23" t="s">
        <v>275</v>
      </c>
      <c r="H154" s="22" t="s">
        <v>1058</v>
      </c>
      <c r="I154" s="22" t="s">
        <v>1065</v>
      </c>
      <c r="J154" s="22">
        <v>0</v>
      </c>
      <c r="K154" s="11" t="s">
        <v>1467</v>
      </c>
      <c r="M154" s="17">
        <f>IFERROR(
IF(
$A154="","",
(VLOOKUP($G154,'nuevos productoss'!$A:$E,4,0))
),$C154)</f>
        <v>4820.0640000000003</v>
      </c>
      <c r="N154" s="17">
        <f>IFERROR(
IF(
$A154="","",
(VLOOKUP($G154,'nuevos productoss'!$A:$E,5,0))
),$C154)</f>
        <v>4084.8</v>
      </c>
      <c r="O154" s="17">
        <f t="shared" si="8"/>
        <v>735.26400000000012</v>
      </c>
    </row>
    <row r="155" spans="1:15" x14ac:dyDescent="0.3">
      <c r="A155" s="5" t="s">
        <v>276</v>
      </c>
      <c r="B155" s="20">
        <v>180</v>
      </c>
      <c r="C155" s="21">
        <v>110502.399</v>
      </c>
      <c r="D155" s="18">
        <f t="shared" si="6"/>
        <v>110502.399</v>
      </c>
      <c r="E155" s="21">
        <f t="shared" si="7"/>
        <v>104977.27905</v>
      </c>
      <c r="F155" s="18">
        <v>1</v>
      </c>
      <c r="G155" s="23" t="s">
        <v>277</v>
      </c>
      <c r="H155" s="22" t="s">
        <v>1058</v>
      </c>
      <c r="I155" s="22" t="s">
        <v>1059</v>
      </c>
      <c r="J155" s="22" t="s">
        <v>1158</v>
      </c>
      <c r="K155" s="11" t="s">
        <v>1467</v>
      </c>
      <c r="M155" s="17">
        <f>IFERROR(
IF(
$A155="","",
(VLOOKUP($G155,'nuevos productoss'!$A:$E,4,0))
),$C155)</f>
        <v>108503.24</v>
      </c>
      <c r="N155" s="17">
        <f>IFERROR(
IF(
$A155="","",
(VLOOKUP($G155,'nuevos productoss'!$A:$E,5,0))
),$C155)</f>
        <v>91951.808000000005</v>
      </c>
      <c r="O155" s="17">
        <f t="shared" si="8"/>
        <v>16551.432000000001</v>
      </c>
    </row>
    <row r="156" spans="1:15" x14ac:dyDescent="0.3">
      <c r="A156" s="5" t="s">
        <v>278</v>
      </c>
      <c r="B156" s="20">
        <v>15</v>
      </c>
      <c r="C156" s="21">
        <v>329.86799999999999</v>
      </c>
      <c r="D156" s="18">
        <f t="shared" si="6"/>
        <v>329.86799999999999</v>
      </c>
      <c r="E156" s="21">
        <f t="shared" si="7"/>
        <v>313.37459999999999</v>
      </c>
      <c r="F156" s="18">
        <v>1</v>
      </c>
      <c r="G156" s="23" t="s">
        <v>279</v>
      </c>
      <c r="H156" s="22" t="s">
        <v>1046</v>
      </c>
      <c r="I156" s="22" t="s">
        <v>1050</v>
      </c>
      <c r="J156" s="22" t="s">
        <v>1159</v>
      </c>
      <c r="K156" s="11" t="s">
        <v>1467</v>
      </c>
      <c r="M156" s="17">
        <f>IFERROR(
IF(
$A156="","",
(VLOOKUP($G156,'nuevos productoss'!$A:$E,4,0))
),$C156)</f>
        <v>323.97199999999998</v>
      </c>
      <c r="N156" s="17">
        <f>IFERROR(
IF(
$A156="","",
(VLOOKUP($G156,'nuevos productoss'!$A:$E,5,0))
),$C156)</f>
        <v>274.54000000000002</v>
      </c>
      <c r="O156" s="17">
        <f t="shared" si="8"/>
        <v>49.43199999999996</v>
      </c>
    </row>
    <row r="157" spans="1:15" x14ac:dyDescent="0.3">
      <c r="A157" s="5" t="s">
        <v>280</v>
      </c>
      <c r="B157" s="20">
        <v>15</v>
      </c>
      <c r="C157" s="21">
        <v>13324.08</v>
      </c>
      <c r="D157" s="18">
        <f t="shared" si="6"/>
        <v>13324.08</v>
      </c>
      <c r="E157" s="21">
        <f t="shared" si="7"/>
        <v>12657.876</v>
      </c>
      <c r="F157" s="18">
        <v>1</v>
      </c>
      <c r="G157" s="23" t="s">
        <v>281</v>
      </c>
      <c r="H157" s="22" t="s">
        <v>1046</v>
      </c>
      <c r="I157" s="22" t="s">
        <v>1050</v>
      </c>
      <c r="J157" s="22" t="s">
        <v>1160</v>
      </c>
      <c r="K157" s="11" t="s">
        <v>1467</v>
      </c>
      <c r="M157" s="17">
        <f>IFERROR(
IF(
$A157="","",
(VLOOKUP($G157,'nuevos productoss'!$A:$E,4,0))
),$C157)</f>
        <v>13081.128000000001</v>
      </c>
      <c r="N157" s="17">
        <f>IFERROR(
IF(
$A157="","",
(VLOOKUP($G157,'nuevos productoss'!$A:$E,5,0))
),$C157)</f>
        <v>11085.791999999999</v>
      </c>
      <c r="O157" s="17">
        <f t="shared" si="8"/>
        <v>1995.3360000000011</v>
      </c>
    </row>
    <row r="158" spans="1:15" x14ac:dyDescent="0.3">
      <c r="A158" s="5" t="s">
        <v>282</v>
      </c>
      <c r="B158" s="20">
        <v>15</v>
      </c>
      <c r="C158" s="21">
        <v>39913.440000000002</v>
      </c>
      <c r="D158" s="18">
        <f t="shared" si="6"/>
        <v>39913.440000000002</v>
      </c>
      <c r="E158" s="21">
        <f t="shared" si="7"/>
        <v>37917.768000000004</v>
      </c>
      <c r="F158" s="18">
        <v>1</v>
      </c>
      <c r="G158" s="23" t="s">
        <v>283</v>
      </c>
      <c r="H158" s="22" t="s">
        <v>1046</v>
      </c>
      <c r="I158" s="22" t="s">
        <v>1050</v>
      </c>
      <c r="J158" s="22" t="s">
        <v>1161</v>
      </c>
      <c r="K158" s="11" t="s">
        <v>1467</v>
      </c>
      <c r="M158" s="17">
        <f>IFERROR(
IF(
$A158="","",
(VLOOKUP($G158,'nuevos productoss'!$A:$E,4,0))
),$C158)</f>
        <v>39185.811999999998</v>
      </c>
      <c r="N158" s="17">
        <f>IFERROR(
IF(
$A158="","",
(VLOOKUP($G158,'nuevos productoss'!$A:$E,5,0))
),$C158)</f>
        <v>33208.387999999999</v>
      </c>
      <c r="O158" s="17">
        <f t="shared" si="8"/>
        <v>5977.4239999999991</v>
      </c>
    </row>
    <row r="159" spans="1:15" x14ac:dyDescent="0.3">
      <c r="A159" s="5" t="s">
        <v>284</v>
      </c>
      <c r="B159" s="20">
        <v>720</v>
      </c>
      <c r="C159" s="21">
        <v>77714.048999999999</v>
      </c>
      <c r="D159" s="18">
        <f t="shared" si="6"/>
        <v>77714.048999999999</v>
      </c>
      <c r="E159" s="21">
        <f t="shared" si="7"/>
        <v>73828.346550000002</v>
      </c>
      <c r="F159" s="18">
        <v>1</v>
      </c>
      <c r="G159" s="23" t="s">
        <v>285</v>
      </c>
      <c r="H159" s="22" t="s">
        <v>1033</v>
      </c>
      <c r="I159" s="22" t="s">
        <v>1042</v>
      </c>
      <c r="J159" s="22" t="s">
        <v>1162</v>
      </c>
      <c r="K159" s="11" t="s">
        <v>1467</v>
      </c>
      <c r="M159" s="17">
        <f>IFERROR(
IF(
$A159="","",
(VLOOKUP($G159,'nuevos productoss'!$A:$E,4,0))
),$C159)</f>
        <v>77518.7</v>
      </c>
      <c r="N159" s="17">
        <f>IFERROR(
IF(
$A159="","",
(VLOOKUP($G159,'nuevos productoss'!$A:$E,5,0))
),$C159)</f>
        <v>65693.796000000002</v>
      </c>
      <c r="O159" s="17">
        <f t="shared" si="8"/>
        <v>11824.903999999995</v>
      </c>
    </row>
    <row r="160" spans="1:15" x14ac:dyDescent="0.3">
      <c r="A160" s="5" t="s">
        <v>286</v>
      </c>
      <c r="B160" s="20">
        <v>1060</v>
      </c>
      <c r="C160" s="21">
        <v>130636.254</v>
      </c>
      <c r="D160" s="18">
        <f t="shared" si="6"/>
        <v>130636.254</v>
      </c>
      <c r="E160" s="21">
        <f t="shared" si="7"/>
        <v>124104.44129999999</v>
      </c>
      <c r="F160" s="18">
        <v>1</v>
      </c>
      <c r="G160" s="23" t="s">
        <v>287</v>
      </c>
      <c r="H160" s="22" t="s">
        <v>1033</v>
      </c>
      <c r="I160" s="22" t="s">
        <v>1042</v>
      </c>
      <c r="J160" s="22" t="s">
        <v>1163</v>
      </c>
      <c r="K160" s="11" t="s">
        <v>1467</v>
      </c>
      <c r="M160" s="17">
        <f>IFERROR(
IF(
$A160="","",
(VLOOKUP($G160,'nuevos productoss'!$A:$E,4,0))
),$C160)</f>
        <v>128236.82</v>
      </c>
      <c r="N160" s="17">
        <f>IFERROR(
IF(
$A160="","",
(VLOOKUP($G160,'nuevos productoss'!$A:$E,5,0))
),$C160)</f>
        <v>108675.216</v>
      </c>
      <c r="O160" s="17">
        <f t="shared" si="8"/>
        <v>19561.604000000007</v>
      </c>
    </row>
    <row r="161" spans="1:15" x14ac:dyDescent="0.3">
      <c r="B161" s="20"/>
      <c r="C161" s="21"/>
      <c r="D161" s="18">
        <f t="shared" si="6"/>
        <v>0</v>
      </c>
      <c r="E161" s="21" t="str">
        <f t="shared" si="7"/>
        <v/>
      </c>
      <c r="F161" s="18"/>
      <c r="G161" s="5"/>
      <c r="H161" s="22" t="s">
        <v>1865</v>
      </c>
      <c r="I161" s="22" t="s">
        <v>1865</v>
      </c>
      <c r="J161" s="22" t="s">
        <v>1865</v>
      </c>
      <c r="K161" s="11" t="s">
        <v>1467</v>
      </c>
      <c r="M161" s="17" t="str">
        <f>IFERROR(
IF(
$A161="","",
(VLOOKUP($G161,'nuevos productoss'!$A:$E,4,0))
),$C161)</f>
        <v/>
      </c>
      <c r="N161" s="17" t="str">
        <f>IFERROR(
IF(
$A161="","",
(VLOOKUP($G161,'nuevos productoss'!$A:$E,5,0))
),$C161)</f>
        <v/>
      </c>
      <c r="O161" s="17">
        <f t="shared" si="8"/>
        <v>0</v>
      </c>
    </row>
    <row r="162" spans="1:15" x14ac:dyDescent="0.3">
      <c r="A162" s="5" t="s">
        <v>288</v>
      </c>
      <c r="B162" s="20">
        <v>1060</v>
      </c>
      <c r="C162" s="21">
        <v>191440.158</v>
      </c>
      <c r="D162" s="18">
        <f t="shared" si="6"/>
        <v>191440.158</v>
      </c>
      <c r="E162" s="21">
        <f t="shared" si="7"/>
        <v>181868.1501</v>
      </c>
      <c r="F162" s="18">
        <v>1</v>
      </c>
      <c r="G162" s="23" t="s">
        <v>289</v>
      </c>
      <c r="H162" s="22" t="s">
        <v>1033</v>
      </c>
      <c r="I162" s="22" t="s">
        <v>1042</v>
      </c>
      <c r="J162" s="22" t="s">
        <v>1164</v>
      </c>
      <c r="K162" s="11" t="s">
        <v>1467</v>
      </c>
      <c r="M162" s="17">
        <f>IFERROR(
IF(
$A162="","",
(VLOOKUP($G162,'nuevos productoss'!$A:$E,4,0))
),$C162)</f>
        <v>197320.11199999999</v>
      </c>
      <c r="N162" s="17">
        <f>IFERROR(
IF(
$A162="","",
(VLOOKUP($G162,'nuevos productoss'!$A:$E,5,0))
),$C162)</f>
        <v>167220.46400000001</v>
      </c>
      <c r="O162" s="17">
        <f t="shared" si="8"/>
        <v>30099.647999999986</v>
      </c>
    </row>
    <row r="163" spans="1:15" x14ac:dyDescent="0.3">
      <c r="A163" s="5" t="s">
        <v>290</v>
      </c>
      <c r="B163" s="20">
        <v>1060</v>
      </c>
      <c r="C163" s="21">
        <v>294015.288</v>
      </c>
      <c r="D163" s="18">
        <f t="shared" si="6"/>
        <v>294015.288</v>
      </c>
      <c r="E163" s="21">
        <f t="shared" si="7"/>
        <v>279314.52360000001</v>
      </c>
      <c r="F163" s="18">
        <v>1</v>
      </c>
      <c r="G163" s="23" t="s">
        <v>291</v>
      </c>
      <c r="H163" s="22" t="s">
        <v>1033</v>
      </c>
      <c r="I163" s="22" t="s">
        <v>1042</v>
      </c>
      <c r="J163" s="22" t="s">
        <v>1165</v>
      </c>
      <c r="K163" s="11" t="s">
        <v>1467</v>
      </c>
      <c r="M163" s="17">
        <f>IFERROR(
IF(
$A163="","",
(VLOOKUP($G163,'nuevos productoss'!$A:$E,4,0))
),$C163)</f>
        <v>333362.74800000002</v>
      </c>
      <c r="N163" s="17">
        <f>IFERROR(
IF(
$A163="","",
(VLOOKUP($G163,'nuevos productoss'!$A:$E,5,0))
),$C163)</f>
        <v>282510.83600000001</v>
      </c>
      <c r="O163" s="17">
        <f t="shared" si="8"/>
        <v>50851.912000000011</v>
      </c>
    </row>
    <row r="164" spans="1:15" x14ac:dyDescent="0.3">
      <c r="A164" s="5" t="s">
        <v>292</v>
      </c>
      <c r="B164" s="20">
        <v>1060</v>
      </c>
      <c r="C164" s="21">
        <v>249135.894</v>
      </c>
      <c r="D164" s="18">
        <f t="shared" si="6"/>
        <v>249135.894</v>
      </c>
      <c r="E164" s="21">
        <f t="shared" si="7"/>
        <v>236679.0993</v>
      </c>
      <c r="F164" s="18">
        <v>1</v>
      </c>
      <c r="G164" s="23" t="s">
        <v>293</v>
      </c>
      <c r="H164" s="22" t="s">
        <v>1033</v>
      </c>
      <c r="I164" s="22" t="s">
        <v>1042</v>
      </c>
      <c r="J164" s="22" t="s">
        <v>1166</v>
      </c>
      <c r="K164" s="11" t="s">
        <v>1467</v>
      </c>
      <c r="M164" s="17">
        <f>IFERROR(
IF(
$A164="","",
(VLOOKUP($G164,'nuevos productoss'!$A:$E,4,0))
),$C164)</f>
        <v>244542.02799999999</v>
      </c>
      <c r="N164" s="17">
        <f>IFERROR(
IF(
$A164="","",
(VLOOKUP($G164,'nuevos productoss'!$A:$E,5,0))
),$C164)</f>
        <v>207239.07199999999</v>
      </c>
      <c r="O164" s="17">
        <f t="shared" si="8"/>
        <v>37302.956000000006</v>
      </c>
    </row>
    <row r="165" spans="1:15" x14ac:dyDescent="0.3">
      <c r="A165" s="5" t="s">
        <v>294</v>
      </c>
      <c r="B165" s="20">
        <v>1060</v>
      </c>
      <c r="C165" s="21">
        <v>178302.18</v>
      </c>
      <c r="D165" s="18">
        <f t="shared" si="6"/>
        <v>178302.18</v>
      </c>
      <c r="E165" s="21">
        <f t="shared" si="7"/>
        <v>169387.071</v>
      </c>
      <c r="F165" s="18">
        <v>1</v>
      </c>
      <c r="G165" s="23" t="s">
        <v>295</v>
      </c>
      <c r="H165" s="22" t="s">
        <v>1033</v>
      </c>
      <c r="I165" s="22" t="s">
        <v>1042</v>
      </c>
      <c r="J165" s="22" t="s">
        <v>1167</v>
      </c>
      <c r="K165" s="11" t="s">
        <v>1467</v>
      </c>
      <c r="M165" s="17">
        <f>IFERROR(
IF(
$A165="","",
(VLOOKUP($G165,'nuevos productoss'!$A:$E,4,0))
),$C165)</f>
        <v>175027.16800000001</v>
      </c>
      <c r="N165" s="17">
        <f>IFERROR(
IF(
$A165="","",
(VLOOKUP($G165,'nuevos productoss'!$A:$E,5,0))
),$C165)</f>
        <v>148328.11600000001</v>
      </c>
      <c r="O165" s="17">
        <f t="shared" si="8"/>
        <v>26699.051999999996</v>
      </c>
    </row>
    <row r="166" spans="1:15" x14ac:dyDescent="0.3">
      <c r="A166" s="5" t="s">
        <v>296</v>
      </c>
      <c r="B166" s="20">
        <v>1060</v>
      </c>
      <c r="C166" s="21">
        <v>303911.32799999998</v>
      </c>
      <c r="D166" s="18">
        <f t="shared" si="6"/>
        <v>303911.32799999998</v>
      </c>
      <c r="E166" s="21">
        <f t="shared" si="7"/>
        <v>288715.76159999997</v>
      </c>
      <c r="F166" s="18">
        <v>1</v>
      </c>
      <c r="G166" s="23" t="s">
        <v>297</v>
      </c>
      <c r="H166" s="22" t="s">
        <v>1033</v>
      </c>
      <c r="I166" s="22" t="s">
        <v>1042</v>
      </c>
      <c r="J166" s="22" t="s">
        <v>1168</v>
      </c>
      <c r="K166" s="11" t="s">
        <v>1467</v>
      </c>
      <c r="M166" s="17">
        <f>IFERROR(
IF(
$A166="","",
(VLOOKUP($G166,'nuevos productoss'!$A:$E,4,0))
),$C166)</f>
        <v>324168.84000000003</v>
      </c>
      <c r="N166" s="17">
        <f>IFERROR(
IF(
$A166="","",
(VLOOKUP($G166,'nuevos productoss'!$A:$E,5,0))
),$C166)</f>
        <v>274719.37599999999</v>
      </c>
      <c r="O166" s="17">
        <f t="shared" si="8"/>
        <v>49449.464000000036</v>
      </c>
    </row>
    <row r="167" spans="1:15" x14ac:dyDescent="0.3">
      <c r="A167" s="5" t="s">
        <v>298</v>
      </c>
      <c r="B167" s="20">
        <v>1060</v>
      </c>
      <c r="C167" s="21">
        <v>335259.66600000003</v>
      </c>
      <c r="D167" s="18">
        <f t="shared" si="6"/>
        <v>335259.66600000003</v>
      </c>
      <c r="E167" s="21">
        <f t="shared" si="7"/>
        <v>318496.6827</v>
      </c>
      <c r="F167" s="18">
        <v>1</v>
      </c>
      <c r="G167" s="23" t="s">
        <v>299</v>
      </c>
      <c r="H167" s="22" t="s">
        <v>1033</v>
      </c>
      <c r="I167" s="22" t="s">
        <v>1042</v>
      </c>
      <c r="J167" s="22" t="s">
        <v>1169</v>
      </c>
      <c r="K167" s="11" t="s">
        <v>1467</v>
      </c>
      <c r="M167" s="17">
        <f>IFERROR(
IF(
$A167="","",
(VLOOKUP($G167,'nuevos productoss'!$A:$E,4,0))
),$C167)</f>
        <v>371149.81199999998</v>
      </c>
      <c r="N167" s="17">
        <f>IFERROR(
IF(
$A167="","",
(VLOOKUP($G167,'nuevos productoss'!$A:$E,5,0))
),$C167)</f>
        <v>314533.74400000001</v>
      </c>
      <c r="O167" s="17">
        <f t="shared" si="8"/>
        <v>56616.06799999997</v>
      </c>
    </row>
    <row r="168" spans="1:15" x14ac:dyDescent="0.3">
      <c r="A168" s="5" t="s">
        <v>300</v>
      </c>
      <c r="B168" s="20">
        <v>1060</v>
      </c>
      <c r="C168" s="21">
        <v>320240.08799999999</v>
      </c>
      <c r="D168" s="18">
        <f t="shared" si="6"/>
        <v>320240.08799999999</v>
      </c>
      <c r="E168" s="21">
        <f t="shared" si="7"/>
        <v>304228.08359999995</v>
      </c>
      <c r="F168" s="18">
        <v>1</v>
      </c>
      <c r="G168" s="23" t="s">
        <v>301</v>
      </c>
      <c r="H168" s="22" t="s">
        <v>1033</v>
      </c>
      <c r="I168" s="22" t="s">
        <v>1042</v>
      </c>
      <c r="J168" s="22" t="s">
        <v>1170</v>
      </c>
      <c r="K168" s="11" t="s">
        <v>1467</v>
      </c>
      <c r="M168" s="17">
        <f>IFERROR(
IF(
$A168="","",
(VLOOKUP($G168,'nuevos productoss'!$A:$E,4,0))
),$C168)</f>
        <v>314358.06800000003</v>
      </c>
      <c r="N168" s="17">
        <f>IFERROR(
IF(
$A168="","",
(VLOOKUP($G168,'nuevos productoss'!$A:$E,5,0))
),$C168)</f>
        <v>266405.18</v>
      </c>
      <c r="O168" s="17">
        <f t="shared" si="8"/>
        <v>47952.888000000035</v>
      </c>
    </row>
    <row r="169" spans="1:15" x14ac:dyDescent="0.3">
      <c r="A169" s="5" t="s">
        <v>302</v>
      </c>
      <c r="B169" s="20">
        <v>1060</v>
      </c>
      <c r="C169" s="21">
        <v>320454.12</v>
      </c>
      <c r="D169" s="18">
        <f t="shared" si="6"/>
        <v>320454.12</v>
      </c>
      <c r="E169" s="21">
        <f t="shared" si="7"/>
        <v>304431.41399999999</v>
      </c>
      <c r="F169" s="18">
        <v>1</v>
      </c>
      <c r="G169" s="23" t="s">
        <v>303</v>
      </c>
      <c r="H169" s="22" t="s">
        <v>1033</v>
      </c>
      <c r="I169" s="22" t="s">
        <v>1042</v>
      </c>
      <c r="J169" s="22" t="s">
        <v>1171</v>
      </c>
      <c r="K169" s="11" t="s">
        <v>1467</v>
      </c>
      <c r="M169" s="17">
        <f>IFERROR(
IF(
$A169="","",
(VLOOKUP($G169,'nuevos productoss'!$A:$E,4,0))
),$C169)</f>
        <v>314568.228</v>
      </c>
      <c r="N169" s="17">
        <f>IFERROR(
IF(
$A169="","",
(VLOOKUP($G169,'nuevos productoss'!$A:$E,5,0))
),$C169)</f>
        <v>266583.22399999999</v>
      </c>
      <c r="O169" s="17">
        <f t="shared" si="8"/>
        <v>47985.004000000015</v>
      </c>
    </row>
    <row r="170" spans="1:15" x14ac:dyDescent="0.3">
      <c r="A170" s="5" t="s">
        <v>304</v>
      </c>
      <c r="B170" s="20">
        <v>1060</v>
      </c>
      <c r="C170" s="21">
        <v>406106.61</v>
      </c>
      <c r="D170" s="18">
        <f t="shared" si="6"/>
        <v>406106.61</v>
      </c>
      <c r="E170" s="21">
        <f t="shared" si="7"/>
        <v>385801.27949999995</v>
      </c>
      <c r="F170" s="18">
        <v>1</v>
      </c>
      <c r="G170" s="23" t="s">
        <v>305</v>
      </c>
      <c r="H170" s="22" t="s">
        <v>1033</v>
      </c>
      <c r="I170" s="22" t="s">
        <v>1042</v>
      </c>
      <c r="J170" s="22" t="s">
        <v>1172</v>
      </c>
      <c r="K170" s="11" t="s">
        <v>1467</v>
      </c>
      <c r="M170" s="17">
        <f>IFERROR(
IF(
$A170="","",
(VLOOKUP($G170,'nuevos productoss'!$A:$E,4,0))
),$C170)</f>
        <v>398647.62</v>
      </c>
      <c r="N170" s="17">
        <f>IFERROR(
IF(
$A170="","",
(VLOOKUP($G170,'nuevos productoss'!$A:$E,5,0))
),$C170)</f>
        <v>337836.93599999999</v>
      </c>
      <c r="O170" s="17">
        <f t="shared" si="8"/>
        <v>60810.684000000008</v>
      </c>
    </row>
    <row r="171" spans="1:15" x14ac:dyDescent="0.3">
      <c r="A171" s="5" t="s">
        <v>306</v>
      </c>
      <c r="B171" s="20">
        <v>1060</v>
      </c>
      <c r="C171" s="21">
        <v>445289.90100000001</v>
      </c>
      <c r="D171" s="18">
        <f t="shared" si="6"/>
        <v>445289.90100000001</v>
      </c>
      <c r="E171" s="21">
        <f t="shared" si="7"/>
        <v>423025.40594999999</v>
      </c>
      <c r="F171" s="18">
        <v>1</v>
      </c>
      <c r="G171" s="23" t="s">
        <v>307</v>
      </c>
      <c r="H171" s="22" t="s">
        <v>1033</v>
      </c>
      <c r="I171" s="22" t="s">
        <v>1042</v>
      </c>
      <c r="J171" s="22" t="s">
        <v>1173</v>
      </c>
      <c r="K171" s="11" t="s">
        <v>1467</v>
      </c>
      <c r="M171" s="17">
        <f>IFERROR(
IF(
$A171="","",
(VLOOKUP($G171,'nuevos productoss'!$A:$E,4,0))
),$C171)</f>
        <v>437111.19199999998</v>
      </c>
      <c r="N171" s="17">
        <f>IFERROR(
IF(
$A171="","",
(VLOOKUP($G171,'nuevos productoss'!$A:$E,5,0))
),$C171)</f>
        <v>370433.196</v>
      </c>
      <c r="O171" s="17">
        <f t="shared" si="8"/>
        <v>66677.995999999985</v>
      </c>
    </row>
    <row r="172" spans="1:15" x14ac:dyDescent="0.3">
      <c r="A172" s="5" t="s">
        <v>308</v>
      </c>
      <c r="B172" s="20">
        <v>1060</v>
      </c>
      <c r="C172" s="21">
        <v>486408.3</v>
      </c>
      <c r="D172" s="18">
        <f t="shared" si="6"/>
        <v>486408.3</v>
      </c>
      <c r="E172" s="21">
        <f t="shared" si="7"/>
        <v>462087.88499999995</v>
      </c>
      <c r="F172" s="18">
        <v>1</v>
      </c>
      <c r="G172" s="23" t="s">
        <v>309</v>
      </c>
      <c r="H172" s="22" t="s">
        <v>1033</v>
      </c>
      <c r="I172" s="22" t="s">
        <v>1042</v>
      </c>
      <c r="J172" s="22" t="s">
        <v>1173</v>
      </c>
      <c r="K172" s="11" t="s">
        <v>1467</v>
      </c>
      <c r="M172" s="17">
        <f>IFERROR(
IF(
$A172="","",
(VLOOKUP($G172,'nuevos productoss'!$A:$E,4,0))
),$C172)</f>
        <v>477439.26799999998</v>
      </c>
      <c r="N172" s="17">
        <f>IFERROR(
IF(
$A172="","",
(VLOOKUP($G172,'nuevos productoss'!$A:$E,5,0))
),$C172)</f>
        <v>404609.652</v>
      </c>
      <c r="O172" s="17">
        <f t="shared" si="8"/>
        <v>72829.61599999998</v>
      </c>
    </row>
    <row r="173" spans="1:15" x14ac:dyDescent="0.3">
      <c r="A173" s="5" t="s">
        <v>310</v>
      </c>
      <c r="B173" s="20">
        <v>1060</v>
      </c>
      <c r="C173" s="21">
        <v>715507.8</v>
      </c>
      <c r="D173" s="18">
        <f t="shared" si="6"/>
        <v>715507.8</v>
      </c>
      <c r="E173" s="21">
        <f t="shared" si="7"/>
        <v>679732.41</v>
      </c>
      <c r="F173" s="18">
        <v>1</v>
      </c>
      <c r="G173" s="23" t="s">
        <v>311</v>
      </c>
      <c r="H173" s="22" t="s">
        <v>1033</v>
      </c>
      <c r="I173" s="22" t="s">
        <v>1042</v>
      </c>
      <c r="J173" s="22" t="s">
        <v>1174</v>
      </c>
      <c r="K173" s="11" t="s">
        <v>1467</v>
      </c>
      <c r="M173" s="17">
        <f>IFERROR(
IF(
$A173="","",
(VLOOKUP($G173,'nuevos productoss'!$A:$E,4,0))
),$C173)</f>
        <v>702365.82</v>
      </c>
      <c r="N173" s="17">
        <f>IFERROR(
IF(
$A173="","",
(VLOOKUP($G173,'nuevos productoss'!$A:$E,5,0))
),$C173)</f>
        <v>595225.36399999994</v>
      </c>
      <c r="O173" s="17">
        <f t="shared" si="8"/>
        <v>107140.45600000001</v>
      </c>
    </row>
    <row r="174" spans="1:15" x14ac:dyDescent="0.3">
      <c r="A174" s="5" t="s">
        <v>312</v>
      </c>
      <c r="B174" s="20">
        <v>1060</v>
      </c>
      <c r="C174" s="21">
        <v>731977.38600000006</v>
      </c>
      <c r="D174" s="18">
        <f t="shared" si="6"/>
        <v>731977.38600000006</v>
      </c>
      <c r="E174" s="21">
        <f t="shared" si="7"/>
        <v>695378.51670000004</v>
      </c>
      <c r="F174" s="18">
        <v>1</v>
      </c>
      <c r="G174" s="23" t="s">
        <v>313</v>
      </c>
      <c r="H174" s="22" t="s">
        <v>1033</v>
      </c>
      <c r="I174" s="22" t="s">
        <v>1042</v>
      </c>
      <c r="J174" s="22" t="s">
        <v>1175</v>
      </c>
      <c r="K174" s="11" t="s">
        <v>1467</v>
      </c>
      <c r="M174" s="17">
        <f>IFERROR(
IF(
$A174="","",
(VLOOKUP($G174,'nuevos productoss'!$A:$E,4,0))
),$C174)</f>
        <v>718532.89599999995</v>
      </c>
      <c r="N174" s="17">
        <f>IFERROR(
IF(
$A174="","",
(VLOOKUP($G174,'nuevos productoss'!$A:$E,5,0))
),$C174)</f>
        <v>608926.16799999995</v>
      </c>
      <c r="O174" s="17">
        <f t="shared" si="8"/>
        <v>109606.728</v>
      </c>
    </row>
    <row r="175" spans="1:15" x14ac:dyDescent="0.3">
      <c r="A175" s="5" t="s">
        <v>314</v>
      </c>
      <c r="B175" s="20">
        <v>1060</v>
      </c>
      <c r="C175" s="21">
        <v>574320.62100000004</v>
      </c>
      <c r="D175" s="18">
        <f t="shared" si="6"/>
        <v>574320.62100000004</v>
      </c>
      <c r="E175" s="21">
        <f t="shared" si="7"/>
        <v>545604.58995000005</v>
      </c>
      <c r="F175" s="18">
        <v>1</v>
      </c>
      <c r="G175" s="23" t="s">
        <v>315</v>
      </c>
      <c r="H175" s="22" t="s">
        <v>1033</v>
      </c>
      <c r="I175" s="22" t="s">
        <v>1042</v>
      </c>
      <c r="J175" s="22" t="s">
        <v>1176</v>
      </c>
      <c r="K175" s="11" t="s">
        <v>1467</v>
      </c>
      <c r="M175" s="17">
        <f>IFERROR(
IF(
$A175="","",
(VLOOKUP($G175,'nuevos productoss'!$A:$E,4,0))
),$C175)</f>
        <v>563771.96</v>
      </c>
      <c r="N175" s="17">
        <f>IFERROR(
IF(
$A175="","",
(VLOOKUP($G175,'nuevos productoss'!$A:$E,5,0))
),$C175)</f>
        <v>477772.86</v>
      </c>
      <c r="O175" s="17">
        <f t="shared" si="8"/>
        <v>85999.099999999977</v>
      </c>
    </row>
    <row r="176" spans="1:15" x14ac:dyDescent="0.3">
      <c r="A176" s="5" t="s">
        <v>316</v>
      </c>
      <c r="B176" s="20">
        <v>1060</v>
      </c>
      <c r="C176" s="21">
        <v>595435.40700000001</v>
      </c>
      <c r="D176" s="18">
        <f t="shared" si="6"/>
        <v>595435.40700000001</v>
      </c>
      <c r="E176" s="21">
        <f t="shared" si="7"/>
        <v>565663.63665</v>
      </c>
      <c r="F176" s="18">
        <v>1</v>
      </c>
      <c r="G176" s="23" t="s">
        <v>317</v>
      </c>
      <c r="H176" s="22" t="s">
        <v>1033</v>
      </c>
      <c r="I176" s="22" t="s">
        <v>1042</v>
      </c>
      <c r="J176" s="22" t="s">
        <v>1177</v>
      </c>
      <c r="K176" s="11" t="s">
        <v>1467</v>
      </c>
      <c r="M176" s="17">
        <f>IFERROR(
IF(
$A176="","",
(VLOOKUP($G176,'nuevos productoss'!$A:$E,4,0))
),$C176)</f>
        <v>584498.76800000004</v>
      </c>
      <c r="N176" s="17">
        <f>IFERROR(
IF(
$A176="","",
(VLOOKUP($G176,'nuevos productoss'!$A:$E,5,0))
),$C176)</f>
        <v>495337.94400000002</v>
      </c>
      <c r="O176" s="17">
        <f t="shared" si="8"/>
        <v>89160.824000000022</v>
      </c>
    </row>
    <row r="177" spans="1:15" x14ac:dyDescent="0.3">
      <c r="A177" s="5" t="s">
        <v>318</v>
      </c>
      <c r="B177" s="20">
        <v>1060</v>
      </c>
      <c r="C177" s="21">
        <v>839896.995</v>
      </c>
      <c r="D177" s="18">
        <f t="shared" si="6"/>
        <v>839896.995</v>
      </c>
      <c r="E177" s="21">
        <f t="shared" si="7"/>
        <v>797902.14524999994</v>
      </c>
      <c r="F177" s="18">
        <v>1</v>
      </c>
      <c r="G177" s="23" t="s">
        <v>319</v>
      </c>
      <c r="H177" s="22" t="s">
        <v>1033</v>
      </c>
      <c r="I177" s="22" t="s">
        <v>1042</v>
      </c>
      <c r="J177" s="22" t="s">
        <v>1178</v>
      </c>
      <c r="K177" s="11" t="s">
        <v>1467</v>
      </c>
      <c r="M177" s="17">
        <f>IFERROR(
IF(
$A177="","",
(VLOOKUP($G177,'nuevos productoss'!$A:$E,4,0))
),$C177)</f>
        <v>824470.40800000005</v>
      </c>
      <c r="N177" s="17">
        <f>IFERROR(
IF(
$A177="","",
(VLOOKUP($G177,'nuevos productoss'!$A:$E,5,0))
),$C177)</f>
        <v>698703.70799999998</v>
      </c>
      <c r="O177" s="17">
        <f t="shared" si="8"/>
        <v>125766.70000000007</v>
      </c>
    </row>
    <row r="178" spans="1:15" x14ac:dyDescent="0.3">
      <c r="A178" s="5" t="s">
        <v>320</v>
      </c>
      <c r="B178" s="20">
        <v>720</v>
      </c>
      <c r="C178" s="21">
        <v>167586.76199999999</v>
      </c>
      <c r="D178" s="18">
        <f t="shared" si="6"/>
        <v>167586.76199999999</v>
      </c>
      <c r="E178" s="21">
        <f t="shared" si="7"/>
        <v>159207.42389999999</v>
      </c>
      <c r="F178" s="18">
        <v>1</v>
      </c>
      <c r="G178" s="23" t="s">
        <v>321</v>
      </c>
      <c r="H178" s="22" t="s">
        <v>1033</v>
      </c>
      <c r="I178" s="22" t="s">
        <v>1041</v>
      </c>
      <c r="J178" s="22" t="s">
        <v>1179</v>
      </c>
      <c r="K178" s="11" t="s">
        <v>1467</v>
      </c>
      <c r="M178" s="17">
        <f>IFERROR(
IF(
$A178="","",
(VLOOKUP($G178,'nuevos productoss'!$A:$E,4,0))
),$C178)</f>
        <v>166782.53200000001</v>
      </c>
      <c r="N178" s="17">
        <f>IFERROR(
IF(
$A178="","",
(VLOOKUP($G178,'nuevos productoss'!$A:$E,5,0))
),$C178)</f>
        <v>141341.18400000001</v>
      </c>
      <c r="O178" s="17">
        <f t="shared" si="8"/>
        <v>25441.347999999998</v>
      </c>
    </row>
    <row r="179" spans="1:15" x14ac:dyDescent="0.3">
      <c r="A179" s="5" t="s">
        <v>322</v>
      </c>
      <c r="B179" s="20">
        <v>1060</v>
      </c>
      <c r="C179" s="21">
        <v>225660.141</v>
      </c>
      <c r="D179" s="18">
        <f t="shared" si="6"/>
        <v>225660.141</v>
      </c>
      <c r="E179" s="21">
        <f t="shared" si="7"/>
        <v>214377.13394999999</v>
      </c>
      <c r="F179" s="18">
        <v>1</v>
      </c>
      <c r="G179" s="23" t="s">
        <v>323</v>
      </c>
      <c r="H179" s="22" t="s">
        <v>1033</v>
      </c>
      <c r="I179" s="22" t="s">
        <v>1041</v>
      </c>
      <c r="J179" s="22" t="s">
        <v>1180</v>
      </c>
      <c r="K179" s="11" t="s">
        <v>1467</v>
      </c>
      <c r="M179" s="17">
        <f>IFERROR(
IF(
$A179="","",
(VLOOKUP($G179,'nuevos productoss'!$A:$E,4,0))
),$C179)</f>
        <v>221515.448</v>
      </c>
      <c r="N179" s="17">
        <f>IFERROR(
IF(
$A179="","",
(VLOOKUP($G179,'nuevos productoss'!$A:$E,5,0))
),$C179)</f>
        <v>187724.976</v>
      </c>
      <c r="O179" s="17">
        <f t="shared" si="8"/>
        <v>33790.472000000009</v>
      </c>
    </row>
    <row r="180" spans="1:15" x14ac:dyDescent="0.3">
      <c r="A180" s="5" t="s">
        <v>324</v>
      </c>
      <c r="B180" s="20">
        <v>1060</v>
      </c>
      <c r="C180" s="21">
        <v>190105.10399999999</v>
      </c>
      <c r="D180" s="18">
        <f t="shared" si="6"/>
        <v>190105.10399999999</v>
      </c>
      <c r="E180" s="21">
        <f t="shared" si="7"/>
        <v>180599.84879999998</v>
      </c>
      <c r="F180" s="18">
        <v>1</v>
      </c>
      <c r="G180" s="23" t="s">
        <v>325</v>
      </c>
      <c r="H180" s="22" t="s">
        <v>1033</v>
      </c>
      <c r="I180" s="22" t="s">
        <v>1041</v>
      </c>
      <c r="J180" s="22" t="s">
        <v>1181</v>
      </c>
      <c r="K180" s="11" t="s">
        <v>1467</v>
      </c>
      <c r="M180" s="17">
        <f>IFERROR(
IF(
$A180="","",
(VLOOKUP($G180,'nuevos productoss'!$A:$E,4,0))
),$C180)</f>
        <v>186626.81599999999</v>
      </c>
      <c r="N180" s="17">
        <f>IFERROR(
IF(
$A180="","",
(VLOOKUP($G180,'nuevos productoss'!$A:$E,5,0))
),$C180)</f>
        <v>158158.27600000001</v>
      </c>
      <c r="O180" s="17">
        <f t="shared" si="8"/>
        <v>28468.539999999979</v>
      </c>
    </row>
    <row r="181" spans="1:15" x14ac:dyDescent="0.3">
      <c r="A181" s="5" t="s">
        <v>326</v>
      </c>
      <c r="B181" s="20">
        <v>1060</v>
      </c>
      <c r="C181" s="21">
        <v>226809.53400000001</v>
      </c>
      <c r="D181" s="18">
        <f t="shared" si="6"/>
        <v>226809.53400000001</v>
      </c>
      <c r="E181" s="21">
        <f t="shared" si="7"/>
        <v>215469.05730000001</v>
      </c>
      <c r="F181" s="18">
        <v>1</v>
      </c>
      <c r="G181" s="23" t="s">
        <v>327</v>
      </c>
      <c r="H181" s="22" t="s">
        <v>1033</v>
      </c>
      <c r="I181" s="22" t="s">
        <v>1041</v>
      </c>
      <c r="J181" s="22" t="s">
        <v>1182</v>
      </c>
      <c r="K181" s="11" t="s">
        <v>1467</v>
      </c>
      <c r="M181" s="17">
        <f>IFERROR(
IF(
$A181="","",
(VLOOKUP($G181,'nuevos productoss'!$A:$E,4,0))
),$C181)</f>
        <v>222627.372</v>
      </c>
      <c r="N181" s="17">
        <f>IFERROR(
IF(
$A181="","",
(VLOOKUP($G181,'nuevos productoss'!$A:$E,5,0))
),$C181)</f>
        <v>188667.29199999999</v>
      </c>
      <c r="O181" s="17">
        <f t="shared" si="8"/>
        <v>33960.080000000016</v>
      </c>
    </row>
    <row r="182" spans="1:15" x14ac:dyDescent="0.3">
      <c r="A182" s="5" t="s">
        <v>328</v>
      </c>
      <c r="B182" s="20">
        <v>1060</v>
      </c>
      <c r="C182" s="21">
        <v>273555.97499999998</v>
      </c>
      <c r="D182" s="18">
        <f t="shared" si="6"/>
        <v>273555.97499999998</v>
      </c>
      <c r="E182" s="21">
        <f t="shared" si="7"/>
        <v>259878.17624999996</v>
      </c>
      <c r="F182" s="18">
        <v>1</v>
      </c>
      <c r="G182" s="23" t="s">
        <v>329</v>
      </c>
      <c r="H182" s="22" t="s">
        <v>1033</v>
      </c>
      <c r="I182" s="22" t="s">
        <v>1041</v>
      </c>
      <c r="J182" s="22" t="s">
        <v>1183</v>
      </c>
      <c r="K182" s="11" t="s">
        <v>1467</v>
      </c>
      <c r="M182" s="17">
        <f>IFERROR(
IF(
$A182="","",
(VLOOKUP($G182,'nuevos productoss'!$A:$E,4,0))
),$C182)</f>
        <v>273996.69199999998</v>
      </c>
      <c r="N182" s="17">
        <f>IFERROR(
IF(
$A182="","",
(VLOOKUP($G182,'nuevos productoss'!$A:$E,5,0))
),$C182)</f>
        <v>232200.60399999999</v>
      </c>
      <c r="O182" s="17">
        <f t="shared" si="8"/>
        <v>41796.087999999989</v>
      </c>
    </row>
    <row r="183" spans="1:15" x14ac:dyDescent="0.3">
      <c r="A183" s="5" t="s">
        <v>330</v>
      </c>
      <c r="B183" s="20">
        <v>1060</v>
      </c>
      <c r="C183" s="21">
        <v>293031.27</v>
      </c>
      <c r="D183" s="18">
        <f t="shared" si="6"/>
        <v>293031.27</v>
      </c>
      <c r="E183" s="21">
        <f t="shared" si="7"/>
        <v>278379.70650000003</v>
      </c>
      <c r="F183" s="18">
        <v>1</v>
      </c>
      <c r="G183" s="23" t="s">
        <v>331</v>
      </c>
      <c r="H183" s="22" t="s">
        <v>1033</v>
      </c>
      <c r="I183" s="22" t="s">
        <v>1041</v>
      </c>
      <c r="J183" s="22" t="s">
        <v>1184</v>
      </c>
      <c r="K183" s="11" t="s">
        <v>1467</v>
      </c>
      <c r="M183" s="17">
        <f>IFERROR(
IF(
$A183="","",
(VLOOKUP($G183,'nuevos productoss'!$A:$E,4,0))
),$C183)</f>
        <v>287628.08399999997</v>
      </c>
      <c r="N183" s="17">
        <f>IFERROR(
IF(
$A183="","",
(VLOOKUP($G183,'nuevos productoss'!$A:$E,5,0))
),$C183)</f>
        <v>243752.59599999999</v>
      </c>
      <c r="O183" s="17">
        <f t="shared" si="8"/>
        <v>43875.487999999983</v>
      </c>
    </row>
    <row r="184" spans="1:15" x14ac:dyDescent="0.3">
      <c r="A184" s="5" t="s">
        <v>332</v>
      </c>
      <c r="B184" s="20">
        <v>1060</v>
      </c>
      <c r="C184" s="21">
        <v>258205.05900000001</v>
      </c>
      <c r="D184" s="18">
        <f t="shared" si="6"/>
        <v>258205.05900000001</v>
      </c>
      <c r="E184" s="21">
        <f t="shared" si="7"/>
        <v>245294.80604999998</v>
      </c>
      <c r="F184" s="18">
        <v>1</v>
      </c>
      <c r="G184" s="23" t="s">
        <v>333</v>
      </c>
      <c r="H184" s="22" t="s">
        <v>1033</v>
      </c>
      <c r="I184" s="22" t="s">
        <v>1041</v>
      </c>
      <c r="J184" s="22" t="s">
        <v>1185</v>
      </c>
      <c r="K184" s="11" t="s">
        <v>1467</v>
      </c>
      <c r="M184" s="17">
        <f>IFERROR(
IF(
$A184="","",
(VLOOKUP($G184,'nuevos productoss'!$A:$E,4,0))
),$C184)</f>
        <v>253462.432</v>
      </c>
      <c r="N184" s="17">
        <f>IFERROR(
IF(
$A184="","",
(VLOOKUP($G184,'nuevos productoss'!$A:$E,5,0))
),$C184)</f>
        <v>214798.764</v>
      </c>
      <c r="O184" s="17">
        <f t="shared" si="8"/>
        <v>38663.668000000005</v>
      </c>
    </row>
    <row r="185" spans="1:15" x14ac:dyDescent="0.3">
      <c r="A185" s="5" t="s">
        <v>334</v>
      </c>
      <c r="B185" s="20">
        <v>1060</v>
      </c>
      <c r="C185" s="21">
        <v>265268.26199999999</v>
      </c>
      <c r="D185" s="18">
        <f t="shared" si="6"/>
        <v>265268.26199999999</v>
      </c>
      <c r="E185" s="21">
        <f t="shared" si="7"/>
        <v>252004.84889999998</v>
      </c>
      <c r="F185" s="18">
        <v>1</v>
      </c>
      <c r="G185" s="23" t="s">
        <v>335</v>
      </c>
      <c r="H185" s="22" t="s">
        <v>1033</v>
      </c>
      <c r="I185" s="22" t="s">
        <v>1041</v>
      </c>
      <c r="J185" s="22" t="s">
        <v>1186</v>
      </c>
      <c r="K185" s="11" t="s">
        <v>1467</v>
      </c>
      <c r="M185" s="17">
        <f>IFERROR(
IF(
$A185="","",
(VLOOKUP($G185,'nuevos productoss'!$A:$E,4,0))
),$C185)</f>
        <v>267831.75199999998</v>
      </c>
      <c r="N185" s="17">
        <f>IFERROR(
IF(
$A185="","",
(VLOOKUP($G185,'nuevos productoss'!$A:$E,5,0))
),$C185)</f>
        <v>226976.05600000001</v>
      </c>
      <c r="O185" s="17">
        <f t="shared" si="8"/>
        <v>40855.695999999967</v>
      </c>
    </row>
    <row r="186" spans="1:15" x14ac:dyDescent="0.3">
      <c r="A186" s="5" t="s">
        <v>336</v>
      </c>
      <c r="B186" s="20">
        <v>1060</v>
      </c>
      <c r="C186" s="21">
        <v>279981.34499999997</v>
      </c>
      <c r="D186" s="18">
        <f t="shared" si="6"/>
        <v>279981.34499999997</v>
      </c>
      <c r="E186" s="21">
        <f t="shared" si="7"/>
        <v>265982.27774999995</v>
      </c>
      <c r="F186" s="18">
        <v>1</v>
      </c>
      <c r="G186" s="23" t="s">
        <v>337</v>
      </c>
      <c r="H186" s="22" t="s">
        <v>1033</v>
      </c>
      <c r="I186" s="22" t="s">
        <v>1041</v>
      </c>
      <c r="J186" s="22" t="s">
        <v>1187</v>
      </c>
      <c r="K186" s="11" t="s">
        <v>1467</v>
      </c>
      <c r="M186" s="17">
        <f>IFERROR(
IF(
$A186="","",
(VLOOKUP($G186,'nuevos productoss'!$A:$E,4,0))
),$C186)</f>
        <v>258395.42</v>
      </c>
      <c r="N186" s="17">
        <f>IFERROR(
IF(
$A186="","",
(VLOOKUP($G186,'nuevos productoss'!$A:$E,5,0))
),$C186)</f>
        <v>218979.17199999999</v>
      </c>
      <c r="O186" s="17">
        <f t="shared" si="8"/>
        <v>39416.248000000021</v>
      </c>
    </row>
    <row r="187" spans="1:15" x14ac:dyDescent="0.3">
      <c r="A187" s="5" t="s">
        <v>338</v>
      </c>
      <c r="B187" s="20">
        <v>1060</v>
      </c>
      <c r="C187" s="21">
        <v>356604.36</v>
      </c>
      <c r="D187" s="18">
        <f t="shared" si="6"/>
        <v>356604.36</v>
      </c>
      <c r="E187" s="21">
        <f t="shared" si="7"/>
        <v>338774.14199999999</v>
      </c>
      <c r="F187" s="18">
        <v>1</v>
      </c>
      <c r="G187" s="23" t="s">
        <v>339</v>
      </c>
      <c r="H187" s="22" t="s">
        <v>1033</v>
      </c>
      <c r="I187" s="22" t="s">
        <v>1041</v>
      </c>
      <c r="J187" s="22" t="s">
        <v>1188</v>
      </c>
      <c r="K187" s="11" t="s">
        <v>1467</v>
      </c>
      <c r="M187" s="17">
        <f>IFERROR(
IF(
$A187="","",
(VLOOKUP($G187,'nuevos productoss'!$A:$E,4,0))
),$C187)</f>
        <v>350054.484</v>
      </c>
      <c r="N187" s="17">
        <f>IFERROR(
IF(
$A187="","",
(VLOOKUP($G187,'nuevos productoss'!$A:$E,5,0))
),$C187)</f>
        <v>296656.38</v>
      </c>
      <c r="O187" s="17">
        <f t="shared" si="8"/>
        <v>53398.103999999992</v>
      </c>
    </row>
    <row r="188" spans="1:15" x14ac:dyDescent="0.3">
      <c r="A188" s="5" t="s">
        <v>340</v>
      </c>
      <c r="B188" s="20">
        <v>1060</v>
      </c>
      <c r="C188" s="21">
        <v>616437.59100000001</v>
      </c>
      <c r="D188" s="18">
        <f t="shared" si="6"/>
        <v>616437.59100000001</v>
      </c>
      <c r="E188" s="21">
        <f t="shared" si="7"/>
        <v>585615.71144999994</v>
      </c>
      <c r="F188" s="18">
        <v>1</v>
      </c>
      <c r="G188" s="23" t="s">
        <v>341</v>
      </c>
      <c r="H188" s="22" t="s">
        <v>1033</v>
      </c>
      <c r="I188" s="22" t="s">
        <v>1041</v>
      </c>
      <c r="J188" s="22" t="s">
        <v>1189</v>
      </c>
      <c r="K188" s="11" t="s">
        <v>1467</v>
      </c>
      <c r="M188" s="17">
        <f>IFERROR(
IF(
$A188="","",
(VLOOKUP($G188,'nuevos productoss'!$A:$E,4,0))
),$C188)</f>
        <v>605115.16799999995</v>
      </c>
      <c r="N188" s="17">
        <f>IFERROR(
IF(
$A188="","",
(VLOOKUP($G188,'nuevos productoss'!$A:$E,5,0))
),$C188)</f>
        <v>512809.49200000003</v>
      </c>
      <c r="O188" s="17">
        <f t="shared" si="8"/>
        <v>92305.675999999919</v>
      </c>
    </row>
    <row r="189" spans="1:15" x14ac:dyDescent="0.3">
      <c r="A189" s="5" t="s">
        <v>342</v>
      </c>
      <c r="B189" s="20">
        <v>1060</v>
      </c>
      <c r="C189" s="21">
        <v>684398.77800000005</v>
      </c>
      <c r="D189" s="18">
        <f t="shared" si="6"/>
        <v>684398.77800000005</v>
      </c>
      <c r="E189" s="21">
        <f t="shared" si="7"/>
        <v>650178.83909999998</v>
      </c>
      <c r="F189" s="18">
        <v>1</v>
      </c>
      <c r="G189" s="23" t="s">
        <v>343</v>
      </c>
      <c r="H189" s="22" t="s">
        <v>1033</v>
      </c>
      <c r="I189" s="22" t="s">
        <v>1041</v>
      </c>
      <c r="J189" s="22" t="s">
        <v>1189</v>
      </c>
      <c r="K189" s="11" t="s">
        <v>1467</v>
      </c>
      <c r="M189" s="17">
        <f>IFERROR(
IF(
$A189="","",
(VLOOKUP($G189,'nuevos productoss'!$A:$E,4,0))
),$C189)</f>
        <v>671828.24</v>
      </c>
      <c r="N189" s="17">
        <f>IFERROR(
IF(
$A189="","",
(VLOOKUP($G189,'nuevos productoss'!$A:$E,5,0))
),$C189)</f>
        <v>569345.93599999999</v>
      </c>
      <c r="O189" s="17">
        <f t="shared" si="8"/>
        <v>102482.304</v>
      </c>
    </row>
    <row r="190" spans="1:15" x14ac:dyDescent="0.3">
      <c r="A190" s="5" t="s">
        <v>344</v>
      </c>
      <c r="B190" s="20">
        <v>1060</v>
      </c>
      <c r="C190" s="21">
        <v>703261.23</v>
      </c>
      <c r="D190" s="18">
        <f t="shared" si="6"/>
        <v>703261.23</v>
      </c>
      <c r="E190" s="21">
        <f t="shared" si="7"/>
        <v>668098.16849999991</v>
      </c>
      <c r="F190" s="18">
        <v>1</v>
      </c>
      <c r="G190" s="23" t="s">
        <v>345</v>
      </c>
      <c r="H190" s="22" t="s">
        <v>1033</v>
      </c>
      <c r="I190" s="22" t="s">
        <v>1041</v>
      </c>
      <c r="J190" s="22" t="s">
        <v>1190</v>
      </c>
      <c r="K190" s="11" t="s">
        <v>1467</v>
      </c>
      <c r="M190" s="17">
        <f>IFERROR(
IF(
$A190="","",
(VLOOKUP($G190,'nuevos productoss'!$A:$E,4,0))
),$C190)</f>
        <v>688593.97600000002</v>
      </c>
      <c r="N190" s="17">
        <f>IFERROR(
IF(
$A190="","",
(VLOOKUP($G190,'nuevos productoss'!$A:$E,5,0))
),$C190)</f>
        <v>583554.23199999996</v>
      </c>
      <c r="O190" s="17">
        <f t="shared" si="8"/>
        <v>105039.74400000006</v>
      </c>
    </row>
    <row r="191" spans="1:15" x14ac:dyDescent="0.3">
      <c r="A191" s="5" t="s">
        <v>346</v>
      </c>
      <c r="B191" s="20">
        <v>1060</v>
      </c>
      <c r="C191" s="21">
        <v>320135.86499999999</v>
      </c>
      <c r="D191" s="18">
        <f t="shared" si="6"/>
        <v>320135.86499999999</v>
      </c>
      <c r="E191" s="21">
        <f t="shared" si="7"/>
        <v>304129.07175</v>
      </c>
      <c r="F191" s="18">
        <v>1</v>
      </c>
      <c r="G191" s="23" t="s">
        <v>347</v>
      </c>
      <c r="H191" s="22" t="s">
        <v>1033</v>
      </c>
      <c r="I191" s="22" t="s">
        <v>1041</v>
      </c>
      <c r="J191" s="22" t="s">
        <v>1191</v>
      </c>
      <c r="K191" s="11" t="s">
        <v>1467</v>
      </c>
      <c r="M191" s="17">
        <f>IFERROR(
IF(
$A191="","",
(VLOOKUP($G191,'nuevos productoss'!$A:$E,4,0))
),$C191)</f>
        <v>340612.23200000002</v>
      </c>
      <c r="N191" s="17">
        <f>IFERROR(
IF(
$A191="","",
(VLOOKUP($G191,'nuevos productoss'!$A:$E,5,0))
),$C191)</f>
        <v>288654.46399999998</v>
      </c>
      <c r="O191" s="17">
        <f t="shared" si="8"/>
        <v>51957.76800000004</v>
      </c>
    </row>
    <row r="192" spans="1:15" x14ac:dyDescent="0.3">
      <c r="A192" s="5" t="s">
        <v>348</v>
      </c>
      <c r="B192" s="20">
        <v>1060</v>
      </c>
      <c r="C192" s="21">
        <v>427090.125</v>
      </c>
      <c r="D192" s="18">
        <f t="shared" si="6"/>
        <v>427090.125</v>
      </c>
      <c r="E192" s="21">
        <f t="shared" si="7"/>
        <v>405735.61874999997</v>
      </c>
      <c r="F192" s="18">
        <v>1</v>
      </c>
      <c r="G192" s="23" t="s">
        <v>349</v>
      </c>
      <c r="H192" s="22" t="s">
        <v>1033</v>
      </c>
      <c r="I192" s="22" t="s">
        <v>1041</v>
      </c>
      <c r="J192" s="22" t="s">
        <v>1192</v>
      </c>
      <c r="K192" s="11" t="s">
        <v>1467</v>
      </c>
      <c r="M192" s="17">
        <f>IFERROR(
IF(
$A192="","",
(VLOOKUP($G192,'nuevos productoss'!$A:$E,4,0))
),$C192)</f>
        <v>419215.03200000001</v>
      </c>
      <c r="N192" s="17">
        <f>IFERROR(
IF(
$A192="","",
(VLOOKUP($G192,'nuevos productoss'!$A:$E,5,0))
),$C192)</f>
        <v>355266.89600000001</v>
      </c>
      <c r="O192" s="17">
        <f t="shared" si="8"/>
        <v>63948.135999999999</v>
      </c>
    </row>
    <row r="193" spans="1:15" x14ac:dyDescent="0.3">
      <c r="A193" s="5" t="s">
        <v>350</v>
      </c>
      <c r="B193" s="20">
        <v>1060</v>
      </c>
      <c r="C193" s="21">
        <v>825585.95700000005</v>
      </c>
      <c r="D193" s="18">
        <f t="shared" si="6"/>
        <v>825585.95700000005</v>
      </c>
      <c r="E193" s="21">
        <f t="shared" si="7"/>
        <v>784306.65914999996</v>
      </c>
      <c r="F193" s="18">
        <v>1</v>
      </c>
      <c r="G193" s="23" t="s">
        <v>351</v>
      </c>
      <c r="H193" s="22" t="s">
        <v>1033</v>
      </c>
      <c r="I193" s="22" t="s">
        <v>1041</v>
      </c>
      <c r="J193" s="22" t="s">
        <v>1193</v>
      </c>
      <c r="K193" s="11" t="s">
        <v>1467</v>
      </c>
      <c r="M193" s="17">
        <f>IFERROR(
IF(
$A193="","",
(VLOOKUP($G193,'nuevos productoss'!$A:$E,4,0))
),$C193)</f>
        <v>786931.68799999997</v>
      </c>
      <c r="N193" s="17">
        <f>IFERROR(
IF(
$A193="","",
(VLOOKUP($G193,'nuevos productoss'!$A:$E,5,0))
),$C193)</f>
        <v>666891.25600000005</v>
      </c>
      <c r="O193" s="17">
        <f t="shared" si="8"/>
        <v>120040.43199999991</v>
      </c>
    </row>
    <row r="194" spans="1:15" x14ac:dyDescent="0.3">
      <c r="A194" s="5" t="s">
        <v>352</v>
      </c>
      <c r="B194" s="20">
        <v>1060</v>
      </c>
      <c r="C194" s="21">
        <v>884472.54</v>
      </c>
      <c r="D194" s="18">
        <f t="shared" si="6"/>
        <v>884472.54</v>
      </c>
      <c r="E194" s="21">
        <f t="shared" si="7"/>
        <v>840248.91299999994</v>
      </c>
      <c r="F194" s="18">
        <v>1</v>
      </c>
      <c r="G194" s="23" t="s">
        <v>353</v>
      </c>
      <c r="H194" s="22" t="s">
        <v>1033</v>
      </c>
      <c r="I194" s="22" t="s">
        <v>1041</v>
      </c>
      <c r="J194" s="22" t="s">
        <v>1194</v>
      </c>
      <c r="K194" s="11" t="s">
        <v>1467</v>
      </c>
      <c r="M194" s="17">
        <f>IFERROR(
IF(
$A194="","",
(VLOOKUP($G194,'nuevos productoss'!$A:$E,4,0))
),$C194)</f>
        <v>868227.2</v>
      </c>
      <c r="N194" s="17">
        <f>IFERROR(
IF(
$A194="","",
(VLOOKUP($G194,'nuevos productoss'!$A:$E,5,0))
),$C194)</f>
        <v>735785.7</v>
      </c>
      <c r="O194" s="17">
        <f t="shared" si="8"/>
        <v>132441.5</v>
      </c>
    </row>
    <row r="195" spans="1:15" x14ac:dyDescent="0.3">
      <c r="A195" s="5" t="s">
        <v>354</v>
      </c>
      <c r="B195" s="20">
        <v>1060</v>
      </c>
      <c r="C195" s="21">
        <v>1133296.3529999999</v>
      </c>
      <c r="D195" s="18">
        <f t="shared" ref="D195:D258" si="9">+C195</f>
        <v>1133296.3529999999</v>
      </c>
      <c r="E195" s="21">
        <f t="shared" ref="E195:E258" si="10">IF(
A195="","",
C195*0.95)</f>
        <v>1076631.5353499998</v>
      </c>
      <c r="F195" s="18">
        <v>1</v>
      </c>
      <c r="G195" s="23" t="s">
        <v>355</v>
      </c>
      <c r="H195" s="22" t="s">
        <v>1033</v>
      </c>
      <c r="I195" s="22" t="s">
        <v>1041</v>
      </c>
      <c r="J195" s="22" t="s">
        <v>1195</v>
      </c>
      <c r="K195" s="11" t="s">
        <v>1467</v>
      </c>
      <c r="M195" s="17">
        <f>IFERROR(
IF(
$A195="","",
(VLOOKUP($G195,'nuevos productoss'!$A:$E,4,0))
),$C195)</f>
        <v>1112560.696</v>
      </c>
      <c r="N195" s="17">
        <f>IFERROR(
IF(
$A195="","",
(VLOOKUP($G195,'nuevos productoss'!$A:$E,5,0))
),$C195)</f>
        <v>942848.06</v>
      </c>
      <c r="O195" s="17">
        <f t="shared" ref="O195:O258" si="11">IFERROR(M195-N195,0)</f>
        <v>169712.63599999994</v>
      </c>
    </row>
    <row r="196" spans="1:15" x14ac:dyDescent="0.3">
      <c r="A196" s="5" t="s">
        <v>356</v>
      </c>
      <c r="B196" s="20">
        <v>360</v>
      </c>
      <c r="C196" s="21">
        <v>88541.04</v>
      </c>
      <c r="D196" s="18">
        <f t="shared" si="9"/>
        <v>88541.04</v>
      </c>
      <c r="E196" s="21">
        <f t="shared" si="10"/>
        <v>84113.987999999983</v>
      </c>
      <c r="F196" s="18">
        <v>1</v>
      </c>
      <c r="G196" s="23" t="s">
        <v>357</v>
      </c>
      <c r="H196" s="22" t="s">
        <v>1033</v>
      </c>
      <c r="I196" s="22" t="s">
        <v>1034</v>
      </c>
      <c r="J196" s="22" t="s">
        <v>1196</v>
      </c>
      <c r="K196" s="11" t="s">
        <v>1467</v>
      </c>
      <c r="M196" s="17">
        <f>IFERROR(
IF(
$A196="","",
(VLOOKUP($G196,'nuevos productoss'!$A:$E,4,0))
),$C196)</f>
        <v>86914.775999999998</v>
      </c>
      <c r="N196" s="17">
        <f>IFERROR(
IF(
$A196="","",
(VLOOKUP($G196,'nuevos productoss'!$A:$E,5,0))
),$C196)</f>
        <v>73656.639999999999</v>
      </c>
      <c r="O196" s="17">
        <f t="shared" si="11"/>
        <v>13258.135999999999</v>
      </c>
    </row>
    <row r="197" spans="1:15" x14ac:dyDescent="0.3">
      <c r="B197" s="20"/>
      <c r="C197" s="21"/>
      <c r="D197" s="18">
        <f t="shared" si="9"/>
        <v>0</v>
      </c>
      <c r="E197" s="21" t="str">
        <f t="shared" si="10"/>
        <v/>
      </c>
      <c r="F197" s="18"/>
      <c r="G197" s="5"/>
      <c r="H197" s="22" t="s">
        <v>1865</v>
      </c>
      <c r="I197" s="22" t="s">
        <v>1865</v>
      </c>
      <c r="J197" s="22" t="s">
        <v>1865</v>
      </c>
      <c r="K197" s="11" t="s">
        <v>1467</v>
      </c>
      <c r="M197" s="17" t="str">
        <f>IFERROR(
IF(
$A197="","",
(VLOOKUP($G197,'nuevos productoss'!$A:$E,4,0))
),$C197)</f>
        <v/>
      </c>
      <c r="N197" s="17" t="str">
        <f>IFERROR(
IF(
$A197="","",
(VLOOKUP($G197,'nuevos productoss'!$A:$E,5,0))
),$C197)</f>
        <v/>
      </c>
      <c r="O197" s="17">
        <f t="shared" si="11"/>
        <v>0</v>
      </c>
    </row>
    <row r="198" spans="1:15" x14ac:dyDescent="0.3">
      <c r="A198" s="5" t="s">
        <v>358</v>
      </c>
      <c r="B198" s="20">
        <v>360</v>
      </c>
      <c r="C198" s="21">
        <v>100506.105</v>
      </c>
      <c r="D198" s="18">
        <f t="shared" si="9"/>
        <v>100506.105</v>
      </c>
      <c r="E198" s="21">
        <f t="shared" si="10"/>
        <v>95480.799749999991</v>
      </c>
      <c r="F198" s="18">
        <v>1</v>
      </c>
      <c r="G198" s="23" t="s">
        <v>359</v>
      </c>
      <c r="H198" s="22" t="s">
        <v>1033</v>
      </c>
      <c r="I198" s="22" t="s">
        <v>1034</v>
      </c>
      <c r="J198" s="22" t="s">
        <v>1197</v>
      </c>
      <c r="K198" s="11" t="s">
        <v>1467</v>
      </c>
      <c r="M198" s="17">
        <f>IFERROR(
IF(
$A198="","",
(VLOOKUP($G198,'nuevos productoss'!$A:$E,4,0))
),$C198)</f>
        <v>117452.504</v>
      </c>
      <c r="N198" s="17">
        <f>IFERROR(
IF(
$A198="","",
(VLOOKUP($G198,'nuevos productoss'!$A:$E,5,0))
),$C198)</f>
        <v>99536.067999999999</v>
      </c>
      <c r="O198" s="17">
        <f t="shared" si="11"/>
        <v>17916.436000000002</v>
      </c>
    </row>
    <row r="199" spans="1:15" x14ac:dyDescent="0.3">
      <c r="B199" s="20"/>
      <c r="C199" s="21"/>
      <c r="D199" s="18">
        <f t="shared" si="9"/>
        <v>0</v>
      </c>
      <c r="E199" s="21" t="str">
        <f t="shared" si="10"/>
        <v/>
      </c>
      <c r="F199" s="18"/>
      <c r="G199" s="5"/>
      <c r="H199" s="22" t="s">
        <v>1865</v>
      </c>
      <c r="I199" s="22" t="s">
        <v>1865</v>
      </c>
      <c r="J199" s="22" t="s">
        <v>1865</v>
      </c>
      <c r="K199" s="11" t="s">
        <v>1467</v>
      </c>
      <c r="M199" s="17" t="str">
        <f>IFERROR(
IF(
$A199="","",
(VLOOKUP($G199,'nuevos productoss'!$A:$E,4,0))
),$C199)</f>
        <v/>
      </c>
      <c r="N199" s="17" t="str">
        <f>IFERROR(
IF(
$A199="","",
(VLOOKUP($G199,'nuevos productoss'!$A:$E,5,0))
),$C199)</f>
        <v/>
      </c>
      <c r="O199" s="17">
        <f t="shared" si="11"/>
        <v>0</v>
      </c>
    </row>
    <row r="200" spans="1:15" x14ac:dyDescent="0.3">
      <c r="A200" s="5" t="s">
        <v>360</v>
      </c>
      <c r="B200" s="20">
        <v>360</v>
      </c>
      <c r="C200" s="21">
        <v>39843.468000000001</v>
      </c>
      <c r="D200" s="18">
        <f t="shared" si="9"/>
        <v>39843.468000000001</v>
      </c>
      <c r="E200" s="21">
        <f t="shared" si="10"/>
        <v>37851.294600000001</v>
      </c>
      <c r="F200" s="18">
        <v>1</v>
      </c>
      <c r="G200" s="23" t="s">
        <v>361</v>
      </c>
      <c r="H200" s="22" t="s">
        <v>1033</v>
      </c>
      <c r="I200" s="22" t="s">
        <v>1034</v>
      </c>
      <c r="J200" s="22" t="s">
        <v>1198</v>
      </c>
      <c r="K200" s="11" t="s">
        <v>1467</v>
      </c>
      <c r="M200" s="17">
        <f>IFERROR(
IF(
$A200="","",
(VLOOKUP($G200,'nuevos productoss'!$A:$E,4,0))
),$C200)</f>
        <v>39843.468000000001</v>
      </c>
      <c r="N200" s="17">
        <f>IFERROR(
IF(
$A200="","",
(VLOOKUP($G200,'nuevos productoss'!$A:$E,5,0))
),$C200)</f>
        <v>39843.468000000001</v>
      </c>
      <c r="O200" s="17">
        <f t="shared" si="11"/>
        <v>0</v>
      </c>
    </row>
    <row r="201" spans="1:15" x14ac:dyDescent="0.3">
      <c r="A201" s="5" t="s">
        <v>362</v>
      </c>
      <c r="B201" s="20">
        <v>360</v>
      </c>
      <c r="C201" s="21">
        <v>39876.983999999997</v>
      </c>
      <c r="D201" s="18">
        <f t="shared" si="9"/>
        <v>39876.983999999997</v>
      </c>
      <c r="E201" s="21">
        <f t="shared" si="10"/>
        <v>37883.134799999993</v>
      </c>
      <c r="F201" s="18">
        <v>1</v>
      </c>
      <c r="G201" s="23" t="s">
        <v>363</v>
      </c>
      <c r="H201" s="22" t="s">
        <v>1033</v>
      </c>
      <c r="I201" s="22" t="s">
        <v>1034</v>
      </c>
      <c r="J201" s="22" t="s">
        <v>1199</v>
      </c>
      <c r="K201" s="11" t="s">
        <v>1467</v>
      </c>
      <c r="M201" s="17">
        <f>IFERROR(
IF(
$A201="","",
(VLOOKUP($G201,'nuevos productoss'!$A:$E,4,0))
),$C201)</f>
        <v>40249.932000000001</v>
      </c>
      <c r="N201" s="17">
        <f>IFERROR(
IF(
$A201="","",
(VLOOKUP($G201,'nuevos productoss'!$A:$E,5,0))
),$C201)</f>
        <v>34110.152000000002</v>
      </c>
      <c r="O201" s="17">
        <f t="shared" si="11"/>
        <v>6139.7799999999988</v>
      </c>
    </row>
    <row r="202" spans="1:15" x14ac:dyDescent="0.3">
      <c r="A202" s="5" t="s">
        <v>364</v>
      </c>
      <c r="B202" s="20">
        <v>360</v>
      </c>
      <c r="C202" s="21">
        <v>67075.805999999997</v>
      </c>
      <c r="D202" s="18">
        <f t="shared" si="9"/>
        <v>67075.805999999997</v>
      </c>
      <c r="E202" s="21">
        <f t="shared" si="10"/>
        <v>63722.015699999996</v>
      </c>
      <c r="F202" s="18">
        <v>1</v>
      </c>
      <c r="G202" s="23" t="s">
        <v>365</v>
      </c>
      <c r="H202" s="22" t="s">
        <v>1033</v>
      </c>
      <c r="I202" s="22" t="s">
        <v>1034</v>
      </c>
      <c r="J202" s="22" t="s">
        <v>1200</v>
      </c>
      <c r="K202" s="11" t="s">
        <v>1467</v>
      </c>
      <c r="M202" s="17">
        <f>IFERROR(
IF(
$A202="","",
(VLOOKUP($G202,'nuevos productoss'!$A:$E,4,0))
),$C202)</f>
        <v>67075.805999999997</v>
      </c>
      <c r="N202" s="17">
        <f>IFERROR(
IF(
$A202="","",
(VLOOKUP($G202,'nuevos productoss'!$A:$E,5,0))
),$C202)</f>
        <v>67075.805999999997</v>
      </c>
      <c r="O202" s="17">
        <f t="shared" si="11"/>
        <v>0</v>
      </c>
    </row>
    <row r="203" spans="1:15" x14ac:dyDescent="0.3">
      <c r="A203" s="5" t="s">
        <v>366</v>
      </c>
      <c r="B203" s="20">
        <v>300</v>
      </c>
      <c r="C203" s="21">
        <v>67482.702000000005</v>
      </c>
      <c r="D203" s="18">
        <f t="shared" si="9"/>
        <v>67482.702000000005</v>
      </c>
      <c r="E203" s="21">
        <f t="shared" si="10"/>
        <v>64108.566899999998</v>
      </c>
      <c r="F203" s="18">
        <v>1</v>
      </c>
      <c r="G203" s="23" t="s">
        <v>367</v>
      </c>
      <c r="H203" s="22" t="s">
        <v>1033</v>
      </c>
      <c r="I203" s="22" t="s">
        <v>1034</v>
      </c>
      <c r="J203" s="22" t="s">
        <v>1201</v>
      </c>
      <c r="K203" s="11" t="s">
        <v>1467</v>
      </c>
      <c r="M203" s="17">
        <f>IFERROR(
IF(
$A203="","",
(VLOOKUP($G203,'nuevos productoss'!$A:$E,4,0))
),$C203)</f>
        <v>67482.702000000005</v>
      </c>
      <c r="N203" s="17">
        <f>IFERROR(
IF(
$A203="","",
(VLOOKUP($G203,'nuevos productoss'!$A:$E,5,0))
),$C203)</f>
        <v>67482.702000000005</v>
      </c>
      <c r="O203" s="17">
        <f t="shared" si="11"/>
        <v>0</v>
      </c>
    </row>
    <row r="204" spans="1:15" x14ac:dyDescent="0.3">
      <c r="A204" s="5" t="s">
        <v>368</v>
      </c>
      <c r="B204" s="20">
        <v>360</v>
      </c>
      <c r="C204" s="21">
        <v>78442.286999999997</v>
      </c>
      <c r="D204" s="18">
        <f t="shared" si="9"/>
        <v>78442.286999999997</v>
      </c>
      <c r="E204" s="21">
        <f t="shared" si="10"/>
        <v>74520.172649999993</v>
      </c>
      <c r="F204" s="18">
        <v>1</v>
      </c>
      <c r="G204" s="23" t="s">
        <v>369</v>
      </c>
      <c r="H204" s="22" t="s">
        <v>1033</v>
      </c>
      <c r="I204" s="22" t="s">
        <v>1034</v>
      </c>
      <c r="J204" s="22" t="s">
        <v>1202</v>
      </c>
      <c r="K204" s="11" t="s">
        <v>1467</v>
      </c>
      <c r="M204" s="17">
        <f>IFERROR(
IF(
$A204="","",
(VLOOKUP($G204,'nuevos productoss'!$A:$E,4,0))
),$C204)</f>
        <v>78442.286999999997</v>
      </c>
      <c r="N204" s="17">
        <f>IFERROR(
IF(
$A204="","",
(VLOOKUP($G204,'nuevos productoss'!$A:$E,5,0))
),$C204)</f>
        <v>78442.286999999997</v>
      </c>
      <c r="O204" s="17">
        <f t="shared" si="11"/>
        <v>0</v>
      </c>
    </row>
    <row r="205" spans="1:15" x14ac:dyDescent="0.3">
      <c r="B205" s="20"/>
      <c r="C205" s="21"/>
      <c r="D205" s="18">
        <f t="shared" si="9"/>
        <v>0</v>
      </c>
      <c r="E205" s="21" t="str">
        <f t="shared" si="10"/>
        <v/>
      </c>
      <c r="F205" s="18"/>
      <c r="G205" s="5"/>
      <c r="H205" s="22" t="s">
        <v>1865</v>
      </c>
      <c r="I205" s="22" t="s">
        <v>1865</v>
      </c>
      <c r="J205" s="22" t="s">
        <v>1865</v>
      </c>
      <c r="K205" s="11" t="s">
        <v>1467</v>
      </c>
      <c r="M205" s="17" t="str">
        <f>IFERROR(
IF(
$A205="","",
(VLOOKUP($G205,'nuevos productoss'!$A:$E,4,0))
),$C205)</f>
        <v/>
      </c>
      <c r="N205" s="17" t="str">
        <f>IFERROR(
IF(
$A205="","",
(VLOOKUP($G205,'nuevos productoss'!$A:$E,5,0))
),$C205)</f>
        <v/>
      </c>
      <c r="O205" s="17">
        <f t="shared" si="11"/>
        <v>0</v>
      </c>
    </row>
    <row r="206" spans="1:15" x14ac:dyDescent="0.3">
      <c r="A206" s="5" t="s">
        <v>370</v>
      </c>
      <c r="B206" s="20">
        <v>360</v>
      </c>
      <c r="C206" s="21">
        <v>64499.042999999998</v>
      </c>
      <c r="D206" s="18">
        <f t="shared" si="9"/>
        <v>64499.042999999998</v>
      </c>
      <c r="E206" s="21">
        <f t="shared" si="10"/>
        <v>61274.090849999993</v>
      </c>
      <c r="F206" s="18">
        <v>1</v>
      </c>
      <c r="G206" s="23" t="s">
        <v>371</v>
      </c>
      <c r="H206" s="22" t="s">
        <v>1033</v>
      </c>
      <c r="I206" s="22" t="s">
        <v>1034</v>
      </c>
      <c r="J206" s="22" t="s">
        <v>1203</v>
      </c>
      <c r="K206" s="11" t="s">
        <v>1467</v>
      </c>
      <c r="M206" s="17">
        <f>IFERROR(
IF(
$A206="","",
(VLOOKUP($G206,'nuevos productoss'!$A:$E,4,0))
),$C206)</f>
        <v>74406.703999999998</v>
      </c>
      <c r="N206" s="17">
        <f>IFERROR(
IF(
$A206="","",
(VLOOKUP($G206,'nuevos productoss'!$A:$E,5,0))
),$C206)</f>
        <v>63056.436000000002</v>
      </c>
      <c r="O206" s="17">
        <f t="shared" si="11"/>
        <v>11350.267999999996</v>
      </c>
    </row>
    <row r="207" spans="1:15" x14ac:dyDescent="0.3">
      <c r="A207" s="5" t="s">
        <v>372</v>
      </c>
      <c r="B207" s="20">
        <v>360</v>
      </c>
      <c r="C207" s="21">
        <v>99370.383000000002</v>
      </c>
      <c r="D207" s="18">
        <f t="shared" si="9"/>
        <v>99370.383000000002</v>
      </c>
      <c r="E207" s="21">
        <f t="shared" si="10"/>
        <v>94401.863849999994</v>
      </c>
      <c r="F207" s="18">
        <v>1</v>
      </c>
      <c r="G207" s="23" t="s">
        <v>373</v>
      </c>
      <c r="H207" s="22" t="s">
        <v>1033</v>
      </c>
      <c r="I207" s="22" t="s">
        <v>1034</v>
      </c>
      <c r="J207" s="22" t="s">
        <v>1204</v>
      </c>
      <c r="K207" s="11" t="s">
        <v>1467</v>
      </c>
      <c r="M207" s="17">
        <f>IFERROR(
IF(
$A207="","",
(VLOOKUP($G207,'nuevos productoss'!$A:$E,4,0))
),$C207)</f>
        <v>118551.552</v>
      </c>
      <c r="N207" s="17">
        <f>IFERROR(
IF(
$A207="","",
(VLOOKUP($G207,'nuevos productoss'!$A:$E,5,0))
),$C207)</f>
        <v>100467.432</v>
      </c>
      <c r="O207" s="17">
        <f t="shared" si="11"/>
        <v>18084.119999999995</v>
      </c>
    </row>
    <row r="208" spans="1:15" x14ac:dyDescent="0.3">
      <c r="A208" s="5" t="s">
        <v>374</v>
      </c>
      <c r="B208" s="20">
        <v>360</v>
      </c>
      <c r="C208" s="21">
        <v>113691.12300000001</v>
      </c>
      <c r="D208" s="18">
        <f t="shared" si="9"/>
        <v>113691.12300000001</v>
      </c>
      <c r="E208" s="21">
        <f t="shared" si="10"/>
        <v>108006.56685</v>
      </c>
      <c r="F208" s="18">
        <v>1</v>
      </c>
      <c r="G208" s="23" t="s">
        <v>375</v>
      </c>
      <c r="H208" s="22" t="s">
        <v>1033</v>
      </c>
      <c r="I208" s="22" t="s">
        <v>1034</v>
      </c>
      <c r="J208" s="22" t="s">
        <v>1205</v>
      </c>
      <c r="K208" s="11" t="s">
        <v>1467</v>
      </c>
      <c r="M208" s="17">
        <f>IFERROR(
IF(
$A208="","",
(VLOOKUP($G208,'nuevos productoss'!$A:$E,4,0))
),$C208)</f>
        <v>113691.12300000001</v>
      </c>
      <c r="N208" s="17">
        <f>IFERROR(
IF(
$A208="","",
(VLOOKUP($G208,'nuevos productoss'!$A:$E,5,0))
),$C208)</f>
        <v>113691.12300000001</v>
      </c>
      <c r="O208" s="17">
        <f t="shared" si="11"/>
        <v>0</v>
      </c>
    </row>
    <row r="209" spans="1:15" x14ac:dyDescent="0.3">
      <c r="A209" s="5" t="s">
        <v>376</v>
      </c>
      <c r="B209" s="20">
        <v>360</v>
      </c>
      <c r="C209" s="21">
        <v>103227.516</v>
      </c>
      <c r="D209" s="18">
        <f t="shared" si="9"/>
        <v>103227.516</v>
      </c>
      <c r="E209" s="21">
        <f t="shared" si="10"/>
        <v>98066.140199999994</v>
      </c>
      <c r="F209" s="18">
        <v>1</v>
      </c>
      <c r="G209" s="23" t="s">
        <v>377</v>
      </c>
      <c r="H209" s="22" t="s">
        <v>1033</v>
      </c>
      <c r="I209" s="22" t="s">
        <v>1034</v>
      </c>
      <c r="J209" s="22" t="s">
        <v>1204</v>
      </c>
      <c r="K209" s="11" t="s">
        <v>1467</v>
      </c>
      <c r="M209" s="17">
        <f>IFERROR(
IF(
$A209="","",
(VLOOKUP($G209,'nuevos productoss'!$A:$E,4,0))
),$C209)</f>
        <v>103227.516</v>
      </c>
      <c r="N209" s="17">
        <f>IFERROR(
IF(
$A209="","",
(VLOOKUP($G209,'nuevos productoss'!$A:$E,5,0))
),$C209)</f>
        <v>103227.516</v>
      </c>
      <c r="O209" s="17">
        <f t="shared" si="11"/>
        <v>0</v>
      </c>
    </row>
    <row r="210" spans="1:15" x14ac:dyDescent="0.3">
      <c r="A210" s="5" t="s">
        <v>378</v>
      </c>
      <c r="B210" s="20">
        <v>360</v>
      </c>
      <c r="C210" s="21">
        <v>117304.08900000001</v>
      </c>
      <c r="D210" s="18">
        <f t="shared" si="9"/>
        <v>117304.08900000001</v>
      </c>
      <c r="E210" s="21">
        <f t="shared" si="10"/>
        <v>111438.88455</v>
      </c>
      <c r="F210" s="18">
        <v>1</v>
      </c>
      <c r="G210" s="23" t="s">
        <v>379</v>
      </c>
      <c r="H210" s="22" t="s">
        <v>1033</v>
      </c>
      <c r="I210" s="22" t="s">
        <v>1034</v>
      </c>
      <c r="J210" s="22" t="s">
        <v>1206</v>
      </c>
      <c r="K210" s="11" t="s">
        <v>1467</v>
      </c>
      <c r="M210" s="17">
        <f>IFERROR(
IF(
$A210="","",
(VLOOKUP($G210,'nuevos productoss'!$A:$E,4,0))
),$C210)</f>
        <v>169269.82</v>
      </c>
      <c r="N210" s="17">
        <f>IFERROR(
IF(
$A210="","",
(VLOOKUP($G210,'nuevos productoss'!$A:$E,5,0))
),$C210)</f>
        <v>143449</v>
      </c>
      <c r="O210" s="17">
        <f t="shared" si="11"/>
        <v>25820.820000000007</v>
      </c>
    </row>
    <row r="211" spans="1:15" x14ac:dyDescent="0.3">
      <c r="A211" s="5" t="s">
        <v>380</v>
      </c>
      <c r="B211" s="20">
        <v>360</v>
      </c>
      <c r="C211" s="21">
        <v>170290.386</v>
      </c>
      <c r="D211" s="18">
        <f t="shared" si="9"/>
        <v>170290.386</v>
      </c>
      <c r="E211" s="21">
        <f t="shared" si="10"/>
        <v>161775.86669999998</v>
      </c>
      <c r="F211" s="18">
        <v>1</v>
      </c>
      <c r="G211" s="23" t="s">
        <v>381</v>
      </c>
      <c r="H211" s="22" t="s">
        <v>1033</v>
      </c>
      <c r="I211" s="22" t="s">
        <v>1034</v>
      </c>
      <c r="J211" s="22" t="s">
        <v>1207</v>
      </c>
      <c r="K211" s="11" t="s">
        <v>1467</v>
      </c>
      <c r="M211" s="17">
        <f>IFERROR(
IF(
$A211="","",
(VLOOKUP($G211,'nuevos productoss'!$A:$E,4,0))
),$C211)</f>
        <v>216594.448</v>
      </c>
      <c r="N211" s="17">
        <f>IFERROR(
IF(
$A211="","",
(VLOOKUP($G211,'nuevos productoss'!$A:$E,5,0))
),$C211)</f>
        <v>183554.63200000001</v>
      </c>
      <c r="O211" s="17">
        <f t="shared" si="11"/>
        <v>33039.815999999992</v>
      </c>
    </row>
    <row r="212" spans="1:15" x14ac:dyDescent="0.3">
      <c r="A212" s="5" t="s">
        <v>382</v>
      </c>
      <c r="B212" s="20">
        <v>360</v>
      </c>
      <c r="C212" s="21">
        <v>178049.193</v>
      </c>
      <c r="D212" s="18">
        <f t="shared" si="9"/>
        <v>178049.193</v>
      </c>
      <c r="E212" s="21">
        <f t="shared" si="10"/>
        <v>169146.73334999999</v>
      </c>
      <c r="F212" s="18">
        <v>1</v>
      </c>
      <c r="G212" s="23" t="s">
        <v>383</v>
      </c>
      <c r="H212" s="22" t="s">
        <v>1033</v>
      </c>
      <c r="I212" s="22" t="s">
        <v>1034</v>
      </c>
      <c r="J212" s="22" t="s">
        <v>1208</v>
      </c>
      <c r="K212" s="11" t="s">
        <v>1467</v>
      </c>
      <c r="M212" s="17">
        <f>IFERROR(
IF(
$A212="","",
(VLOOKUP($G212,'nuevos productoss'!$A:$E,4,0))
),$C212)</f>
        <v>178049.193</v>
      </c>
      <c r="N212" s="17">
        <f>IFERROR(
IF(
$A212="","",
(VLOOKUP($G212,'nuevos productoss'!$A:$E,5,0))
),$C212)</f>
        <v>178049.193</v>
      </c>
      <c r="O212" s="17">
        <f t="shared" si="11"/>
        <v>0</v>
      </c>
    </row>
    <row r="213" spans="1:15" x14ac:dyDescent="0.3">
      <c r="A213" s="5" t="s">
        <v>384</v>
      </c>
      <c r="B213" s="20">
        <v>360</v>
      </c>
      <c r="C213" s="21">
        <v>103227.516</v>
      </c>
      <c r="D213" s="18">
        <f t="shared" si="9"/>
        <v>103227.516</v>
      </c>
      <c r="E213" s="21">
        <f t="shared" si="10"/>
        <v>98066.140199999994</v>
      </c>
      <c r="F213" s="18">
        <v>1</v>
      </c>
      <c r="G213" s="23" t="s">
        <v>385</v>
      </c>
      <c r="H213" s="22" t="s">
        <v>1033</v>
      </c>
      <c r="I213" s="22" t="s">
        <v>1034</v>
      </c>
      <c r="J213" s="22" t="s">
        <v>1209</v>
      </c>
      <c r="K213" s="11" t="s">
        <v>1467</v>
      </c>
      <c r="M213" s="17">
        <f>IFERROR(
IF(
$A213="","",
(VLOOKUP($G213,'nuevos productoss'!$A:$E,4,0))
),$C213)</f>
        <v>142785.36799999999</v>
      </c>
      <c r="N213" s="17">
        <f>IFERROR(
IF(
$A213="","",
(VLOOKUP($G213,'nuevos productoss'!$A:$E,5,0))
),$C213)</f>
        <v>121004.504</v>
      </c>
      <c r="O213" s="17">
        <f t="shared" si="11"/>
        <v>21780.863999999987</v>
      </c>
    </row>
    <row r="214" spans="1:15" x14ac:dyDescent="0.3">
      <c r="A214" s="5" t="s">
        <v>386</v>
      </c>
      <c r="B214" s="20">
        <v>360</v>
      </c>
      <c r="C214" s="21">
        <v>162724.149</v>
      </c>
      <c r="D214" s="18">
        <f t="shared" si="9"/>
        <v>162724.149</v>
      </c>
      <c r="E214" s="21">
        <f t="shared" si="10"/>
        <v>154587.94154999999</v>
      </c>
      <c r="F214" s="18">
        <v>1</v>
      </c>
      <c r="G214" s="23" t="s">
        <v>387</v>
      </c>
      <c r="H214" s="22" t="s">
        <v>1033</v>
      </c>
      <c r="I214" s="22" t="s">
        <v>1034</v>
      </c>
      <c r="J214" s="22" t="s">
        <v>1210</v>
      </c>
      <c r="K214" s="11" t="s">
        <v>1467</v>
      </c>
      <c r="M214" s="17">
        <f>IFERROR(
IF(
$A214="","",
(VLOOKUP($G214,'nuevos productoss'!$A:$E,4,0))
),$C214)</f>
        <v>159735.364</v>
      </c>
      <c r="N214" s="17">
        <f>IFERROR(
IF(
$A214="","",
(VLOOKUP($G214,'nuevos productoss'!$A:$E,5,0))
),$C214)</f>
        <v>135368.94</v>
      </c>
      <c r="O214" s="17">
        <f t="shared" si="11"/>
        <v>24366.423999999999</v>
      </c>
    </row>
    <row r="215" spans="1:15" x14ac:dyDescent="0.3">
      <c r="A215" s="5" t="s">
        <v>388</v>
      </c>
      <c r="B215" s="20">
        <v>360</v>
      </c>
      <c r="C215" s="21">
        <v>167510.17499999999</v>
      </c>
      <c r="D215" s="18">
        <f t="shared" si="9"/>
        <v>167510.17499999999</v>
      </c>
      <c r="E215" s="21">
        <f t="shared" si="10"/>
        <v>159134.66624999998</v>
      </c>
      <c r="F215" s="18">
        <v>1</v>
      </c>
      <c r="G215" s="23" t="s">
        <v>389</v>
      </c>
      <c r="H215" s="22" t="s">
        <v>1033</v>
      </c>
      <c r="I215" s="22" t="s">
        <v>1034</v>
      </c>
      <c r="J215" s="22" t="s">
        <v>1211</v>
      </c>
      <c r="K215" s="11" t="s">
        <v>1467</v>
      </c>
      <c r="M215" s="17">
        <f>IFERROR(
IF(
$A215="","",
(VLOOKUP($G215,'nuevos productoss'!$A:$E,4,0))
),$C215)</f>
        <v>164433.476</v>
      </c>
      <c r="N215" s="17">
        <f>IFERROR(
IF(
$A215="","",
(VLOOKUP($G215,'nuevos productoss'!$A:$E,5,0))
),$C215)</f>
        <v>139350.43599999999</v>
      </c>
      <c r="O215" s="17">
        <f t="shared" si="11"/>
        <v>25083.040000000008</v>
      </c>
    </row>
    <row r="216" spans="1:15" x14ac:dyDescent="0.3">
      <c r="A216" s="5" t="s">
        <v>390</v>
      </c>
      <c r="B216" s="20">
        <v>1080</v>
      </c>
      <c r="C216" s="21">
        <v>202538.364</v>
      </c>
      <c r="D216" s="18">
        <f t="shared" si="9"/>
        <v>202538.364</v>
      </c>
      <c r="E216" s="21">
        <f t="shared" si="10"/>
        <v>192411.44579999999</v>
      </c>
      <c r="F216" s="18">
        <v>1</v>
      </c>
      <c r="G216" s="23" t="s">
        <v>391</v>
      </c>
      <c r="H216" s="22" t="s">
        <v>1033</v>
      </c>
      <c r="I216" s="22" t="s">
        <v>1034</v>
      </c>
      <c r="J216" s="22" t="s">
        <v>1212</v>
      </c>
      <c r="K216" s="11" t="s">
        <v>1467</v>
      </c>
      <c r="M216" s="17">
        <f>IFERROR(
IF(
$A216="","",
(VLOOKUP($G216,'nuevos productoss'!$A:$E,4,0))
),$C216)</f>
        <v>198873.96400000001</v>
      </c>
      <c r="N216" s="17">
        <f>IFERROR(
IF(
$A216="","",
(VLOOKUP($G216,'nuevos productoss'!$A:$E,5,0))
),$C216)</f>
        <v>168537.22</v>
      </c>
      <c r="O216" s="17">
        <f t="shared" si="11"/>
        <v>30336.744000000006</v>
      </c>
    </row>
    <row r="217" spans="1:15" x14ac:dyDescent="0.3">
      <c r="A217" s="5" t="s">
        <v>392</v>
      </c>
      <c r="B217" s="20">
        <v>1080</v>
      </c>
      <c r="C217" s="21">
        <v>232262.05799999999</v>
      </c>
      <c r="D217" s="18">
        <f t="shared" si="9"/>
        <v>232262.05799999999</v>
      </c>
      <c r="E217" s="21">
        <f t="shared" si="10"/>
        <v>220648.95509999999</v>
      </c>
      <c r="F217" s="18">
        <v>1</v>
      </c>
      <c r="G217" s="23" t="s">
        <v>393</v>
      </c>
      <c r="H217" s="22" t="s">
        <v>1033</v>
      </c>
      <c r="I217" s="22" t="s">
        <v>1034</v>
      </c>
      <c r="J217" s="22" t="s">
        <v>1213</v>
      </c>
      <c r="K217" s="11" t="s">
        <v>1467</v>
      </c>
      <c r="M217" s="17">
        <f>IFERROR(
IF(
$A217="","",
(VLOOKUP($G217,'nuevos productoss'!$A:$E,4,0))
),$C217)</f>
        <v>227996.07199999999</v>
      </c>
      <c r="N217" s="17">
        <f>IFERROR(
IF(
$A217="","",
(VLOOKUP($G217,'nuevos productoss'!$A:$E,5,0))
),$C217)</f>
        <v>193216.96</v>
      </c>
      <c r="O217" s="17">
        <f t="shared" si="11"/>
        <v>34779.111999999994</v>
      </c>
    </row>
    <row r="218" spans="1:15" x14ac:dyDescent="0.3">
      <c r="A218" s="5" t="s">
        <v>394</v>
      </c>
      <c r="B218" s="20">
        <v>1080</v>
      </c>
      <c r="C218" s="21">
        <v>201155.829</v>
      </c>
      <c r="D218" s="18">
        <f t="shared" si="9"/>
        <v>201155.829</v>
      </c>
      <c r="E218" s="21">
        <f t="shared" si="10"/>
        <v>191098.03754999998</v>
      </c>
      <c r="F218" s="18">
        <v>1</v>
      </c>
      <c r="G218" s="23" t="s">
        <v>395</v>
      </c>
      <c r="H218" s="22" t="s">
        <v>1033</v>
      </c>
      <c r="I218" s="22" t="s">
        <v>1034</v>
      </c>
      <c r="J218" s="22" t="s">
        <v>1214</v>
      </c>
      <c r="K218" s="11" t="s">
        <v>1467</v>
      </c>
      <c r="M218" s="17">
        <f>IFERROR(
IF(
$A218="","",
(VLOOKUP($G218,'nuevos productoss'!$A:$E,4,0))
),$C218)</f>
        <v>197461.15599999999</v>
      </c>
      <c r="N218" s="17">
        <f>IFERROR(
IF(
$A218="","",
(VLOOKUP($G218,'nuevos productoss'!$A:$E,5,0))
),$C218)</f>
        <v>167339.9</v>
      </c>
      <c r="O218" s="17">
        <f t="shared" si="11"/>
        <v>30121.255999999994</v>
      </c>
    </row>
    <row r="219" spans="1:15" x14ac:dyDescent="0.3">
      <c r="A219" s="5" t="s">
        <v>396</v>
      </c>
      <c r="B219" s="20">
        <v>1080</v>
      </c>
      <c r="C219" s="21">
        <v>514495.59</v>
      </c>
      <c r="D219" s="18">
        <f t="shared" si="9"/>
        <v>514495.59</v>
      </c>
      <c r="E219" s="21">
        <f t="shared" si="10"/>
        <v>488770.81050000002</v>
      </c>
      <c r="F219" s="18">
        <v>1</v>
      </c>
      <c r="G219" s="23" t="s">
        <v>397</v>
      </c>
      <c r="H219" s="22" t="s">
        <v>1033</v>
      </c>
      <c r="I219" s="22" t="s">
        <v>1034</v>
      </c>
      <c r="J219" s="22" t="s">
        <v>1215</v>
      </c>
      <c r="K219" s="11" t="s">
        <v>1467</v>
      </c>
      <c r="M219" s="17">
        <f>IFERROR(
IF(
$A219="","",
(VLOOKUP($G219,'nuevos productoss'!$A:$E,4,0))
),$C219)</f>
        <v>505045.70799999998</v>
      </c>
      <c r="N219" s="17">
        <f>IFERROR(
IF(
$A219="","",
(VLOOKUP($G219,'nuevos productoss'!$A:$E,5,0))
),$C219)</f>
        <v>428004.75199999998</v>
      </c>
      <c r="O219" s="17">
        <f t="shared" si="11"/>
        <v>77040.956000000006</v>
      </c>
    </row>
    <row r="220" spans="1:15" x14ac:dyDescent="0.3">
      <c r="A220" s="5" t="s">
        <v>398</v>
      </c>
      <c r="B220" s="20">
        <v>1080</v>
      </c>
      <c r="C220" s="21">
        <v>496255.83</v>
      </c>
      <c r="D220" s="18">
        <f t="shared" si="9"/>
        <v>496255.83</v>
      </c>
      <c r="E220" s="21">
        <f t="shared" si="10"/>
        <v>471443.03849999997</v>
      </c>
      <c r="F220" s="18">
        <v>1</v>
      </c>
      <c r="G220" s="23" t="s">
        <v>399</v>
      </c>
      <c r="H220" s="22" t="s">
        <v>1033</v>
      </c>
      <c r="I220" s="22" t="s">
        <v>1034</v>
      </c>
      <c r="J220" s="22" t="s">
        <v>1216</v>
      </c>
      <c r="K220" s="11" t="s">
        <v>1467</v>
      </c>
      <c r="M220" s="17">
        <f>IFERROR(
IF(
$A220="","",
(VLOOKUP($G220,'nuevos productoss'!$A:$E,4,0))
),$C220)</f>
        <v>487210.37599999999</v>
      </c>
      <c r="N220" s="17">
        <f>IFERROR(
IF(
$A220="","",
(VLOOKUP($G220,'nuevos productoss'!$A:$E,5,0))
),$C220)</f>
        <v>412890.10399999999</v>
      </c>
      <c r="O220" s="17">
        <f t="shared" si="11"/>
        <v>74320.271999999997</v>
      </c>
    </row>
    <row r="221" spans="1:15" x14ac:dyDescent="0.3">
      <c r="A221" s="5" t="s">
        <v>400</v>
      </c>
      <c r="B221" s="20">
        <v>1080</v>
      </c>
      <c r="C221" s="21">
        <v>502530.52500000002</v>
      </c>
      <c r="D221" s="18">
        <f t="shared" si="9"/>
        <v>502530.52500000002</v>
      </c>
      <c r="E221" s="21">
        <f t="shared" si="10"/>
        <v>477403.99875000003</v>
      </c>
      <c r="F221" s="18">
        <v>1</v>
      </c>
      <c r="G221" s="23" t="s">
        <v>401</v>
      </c>
      <c r="H221" s="22" t="s">
        <v>1033</v>
      </c>
      <c r="I221" s="22" t="s">
        <v>1034</v>
      </c>
      <c r="J221" s="22" t="s">
        <v>1217</v>
      </c>
      <c r="K221" s="11" t="s">
        <v>1467</v>
      </c>
      <c r="M221" s="17">
        <f>IFERROR(
IF(
$A221="","",
(VLOOKUP($G221,'nuevos productoss'!$A:$E,4,0))
),$C221)</f>
        <v>493300.42800000001</v>
      </c>
      <c r="N221" s="17">
        <f>IFERROR(
IF(
$A221="","",
(VLOOKUP($G221,'nuevos productoss'!$A:$E,5,0))
),$C221)</f>
        <v>418051.16</v>
      </c>
      <c r="O221" s="17">
        <f t="shared" si="11"/>
        <v>75249.26800000004</v>
      </c>
    </row>
    <row r="222" spans="1:15" x14ac:dyDescent="0.3">
      <c r="A222" s="5" t="s">
        <v>402</v>
      </c>
      <c r="B222" s="20">
        <v>1080</v>
      </c>
      <c r="C222" s="21">
        <v>1691325.699</v>
      </c>
      <c r="D222" s="18">
        <f t="shared" si="9"/>
        <v>1691325.699</v>
      </c>
      <c r="E222" s="21">
        <f t="shared" si="10"/>
        <v>1606759.41405</v>
      </c>
      <c r="F222" s="18">
        <v>1</v>
      </c>
      <c r="G222" s="23" t="s">
        <v>403</v>
      </c>
      <c r="H222" s="22" t="s">
        <v>1033</v>
      </c>
      <c r="I222" s="22" t="s">
        <v>1034</v>
      </c>
      <c r="J222" s="22" t="s">
        <v>1218</v>
      </c>
      <c r="K222" s="11" t="s">
        <v>1467</v>
      </c>
      <c r="M222" s="17">
        <f>IFERROR(
IF(
$A222="","",
(VLOOKUP($G222,'nuevos productoss'!$A:$E,4,0))
),$C222)</f>
        <v>1660497.1</v>
      </c>
      <c r="N222" s="17">
        <f>IFERROR(
IF(
$A222="","",
(VLOOKUP($G222,'nuevos productoss'!$A:$E,5,0))
),$C222)</f>
        <v>1407200.872</v>
      </c>
      <c r="O222" s="17">
        <f t="shared" si="11"/>
        <v>253296.22800000012</v>
      </c>
    </row>
    <row r="223" spans="1:15" x14ac:dyDescent="0.3">
      <c r="A223" s="5" t="s">
        <v>404</v>
      </c>
      <c r="B223" s="20">
        <v>30</v>
      </c>
      <c r="C223" s="21">
        <v>143150.658</v>
      </c>
      <c r="D223" s="18">
        <f t="shared" si="9"/>
        <v>143150.658</v>
      </c>
      <c r="E223" s="21">
        <f t="shared" si="10"/>
        <v>135993.12509999998</v>
      </c>
      <c r="F223" s="18">
        <v>1</v>
      </c>
      <c r="G223" s="23" t="s">
        <v>405</v>
      </c>
      <c r="H223" s="22" t="s">
        <v>1053</v>
      </c>
      <c r="I223" s="22" t="s">
        <v>1054</v>
      </c>
      <c r="J223" s="22" t="s">
        <v>1219</v>
      </c>
      <c r="K223" s="11" t="s">
        <v>1467</v>
      </c>
      <c r="M223" s="17">
        <f>IFERROR(
IF(
$A223="","",
(VLOOKUP($G223,'nuevos productoss'!$A:$E,4,0))
),$C223)</f>
        <v>140541.39199999999</v>
      </c>
      <c r="N223" s="17">
        <f>IFERROR(
IF(
$A223="","",
(VLOOKUP($G223,'nuevos productoss'!$A:$E,5,0))
),$C223)</f>
        <v>119102.852</v>
      </c>
      <c r="O223" s="17">
        <f t="shared" si="11"/>
        <v>21438.539999999994</v>
      </c>
    </row>
    <row r="224" spans="1:15" x14ac:dyDescent="0.3">
      <c r="A224" s="5" t="s">
        <v>406</v>
      </c>
      <c r="B224" s="20">
        <v>360</v>
      </c>
      <c r="C224" s="21">
        <v>33859.980000000003</v>
      </c>
      <c r="D224" s="18">
        <f t="shared" si="9"/>
        <v>33859.980000000003</v>
      </c>
      <c r="E224" s="21">
        <f t="shared" si="10"/>
        <v>32166.981</v>
      </c>
      <c r="F224" s="18">
        <v>1</v>
      </c>
      <c r="G224" s="23" t="s">
        <v>407</v>
      </c>
      <c r="H224" s="22" t="s">
        <v>1055</v>
      </c>
      <c r="I224" s="22" t="s">
        <v>1027</v>
      </c>
      <c r="J224" s="22" t="s">
        <v>1220</v>
      </c>
      <c r="K224" s="11" t="s">
        <v>1467</v>
      </c>
      <c r="M224" s="17">
        <f>IFERROR(
IF(
$A224="","",
(VLOOKUP($G224,'nuevos productoss'!$A:$E,4,0))
),$C224)</f>
        <v>33235.620000000003</v>
      </c>
      <c r="N224" s="17">
        <f>IFERROR(
IF(
$A224="","",
(VLOOKUP($G224,'nuevos productoss'!$A:$E,5,0))
),$C224)</f>
        <v>28165.732</v>
      </c>
      <c r="O224" s="17">
        <f t="shared" si="11"/>
        <v>5069.8880000000026</v>
      </c>
    </row>
    <row r="225" spans="1:15" x14ac:dyDescent="0.3">
      <c r="A225" s="5" t="s">
        <v>408</v>
      </c>
      <c r="B225" s="20">
        <v>360</v>
      </c>
      <c r="C225" s="21">
        <v>31287.332999999999</v>
      </c>
      <c r="D225" s="18">
        <f t="shared" si="9"/>
        <v>31287.332999999999</v>
      </c>
      <c r="E225" s="21">
        <f t="shared" si="10"/>
        <v>29722.966349999999</v>
      </c>
      <c r="F225" s="18">
        <v>1</v>
      </c>
      <c r="G225" s="23" t="s">
        <v>409</v>
      </c>
      <c r="H225" s="22" t="s">
        <v>1055</v>
      </c>
      <c r="I225" s="22" t="s">
        <v>1027</v>
      </c>
      <c r="J225" s="22" t="s">
        <v>1221</v>
      </c>
      <c r="K225" s="11" t="s">
        <v>1467</v>
      </c>
      <c r="M225" s="17">
        <f>IFERROR(
IF(
$A225="","",
(VLOOKUP($G225,'nuevos productoss'!$A:$E,4,0))
),$C225)</f>
        <v>30710.444</v>
      </c>
      <c r="N225" s="17">
        <f>IFERROR(
IF(
$A225="","",
(VLOOKUP($G225,'nuevos productoss'!$A:$E,5,0))
),$C225)</f>
        <v>26025.8</v>
      </c>
      <c r="O225" s="17">
        <f t="shared" si="11"/>
        <v>4684.6440000000002</v>
      </c>
    </row>
    <row r="226" spans="1:15" x14ac:dyDescent="0.3">
      <c r="A226" s="5" t="s">
        <v>410</v>
      </c>
      <c r="B226" s="20">
        <v>360</v>
      </c>
      <c r="C226" s="21">
        <v>52671.716999999997</v>
      </c>
      <c r="D226" s="18">
        <f t="shared" si="9"/>
        <v>52671.716999999997</v>
      </c>
      <c r="E226" s="21">
        <f t="shared" si="10"/>
        <v>50038.131149999994</v>
      </c>
      <c r="F226" s="18">
        <v>1</v>
      </c>
      <c r="G226" s="23" t="s">
        <v>411</v>
      </c>
      <c r="H226" s="22" t="s">
        <v>1055</v>
      </c>
      <c r="I226" s="22" t="s">
        <v>1027</v>
      </c>
      <c r="J226" s="22" t="s">
        <v>1222</v>
      </c>
      <c r="K226" s="11" t="s">
        <v>1467</v>
      </c>
      <c r="M226" s="17">
        <f>IFERROR(
IF(
$A226="","",
(VLOOKUP($G226,'nuevos productoss'!$A:$E,4,0))
),$C226)</f>
        <v>51700.396000000001</v>
      </c>
      <c r="N226" s="17">
        <f>IFERROR(
IF(
$A226="","",
(VLOOKUP($G226,'nuevos productoss'!$A:$E,5,0))
),$C226)</f>
        <v>43813.919999999998</v>
      </c>
      <c r="O226" s="17">
        <f t="shared" si="11"/>
        <v>7886.4760000000024</v>
      </c>
    </row>
    <row r="227" spans="1:15" x14ac:dyDescent="0.3">
      <c r="A227" s="5" t="s">
        <v>412</v>
      </c>
      <c r="B227" s="20">
        <v>0</v>
      </c>
      <c r="C227" s="21">
        <v>14284.284</v>
      </c>
      <c r="D227" s="18">
        <f t="shared" si="9"/>
        <v>14284.284</v>
      </c>
      <c r="E227" s="21">
        <f t="shared" si="10"/>
        <v>13570.069799999999</v>
      </c>
      <c r="F227" s="18">
        <v>1</v>
      </c>
      <c r="G227" s="23" t="s">
        <v>413</v>
      </c>
      <c r="H227" s="22" t="s">
        <v>1033</v>
      </c>
      <c r="I227" s="22" t="s">
        <v>1035</v>
      </c>
      <c r="J227" s="22" t="s">
        <v>1223</v>
      </c>
      <c r="K227" s="11" t="s">
        <v>1467</v>
      </c>
      <c r="M227" s="17">
        <f>IFERROR(
IF(
$A227="","",
(VLOOKUP($G227,'nuevos productoss'!$A:$E,4,0))
),$C227)</f>
        <v>14023</v>
      </c>
      <c r="N227" s="17">
        <f>IFERROR(
IF(
$A227="","",
(VLOOKUP($G227,'nuevos productoss'!$A:$E,5,0))
),$C227)</f>
        <v>11883.808000000001</v>
      </c>
      <c r="O227" s="17">
        <f t="shared" si="11"/>
        <v>2139.1919999999991</v>
      </c>
    </row>
    <row r="228" spans="1:15" x14ac:dyDescent="0.3">
      <c r="A228" s="5" t="s">
        <v>414</v>
      </c>
      <c r="B228" s="20">
        <v>180</v>
      </c>
      <c r="C228" s="21">
        <v>30658.614000000001</v>
      </c>
      <c r="D228" s="18">
        <f t="shared" si="9"/>
        <v>30658.614000000001</v>
      </c>
      <c r="E228" s="21">
        <f t="shared" si="10"/>
        <v>29125.683300000001</v>
      </c>
      <c r="F228" s="18">
        <v>1</v>
      </c>
      <c r="G228" s="23" t="s">
        <v>415</v>
      </c>
      <c r="H228" s="22" t="s">
        <v>1033</v>
      </c>
      <c r="I228" s="22" t="s">
        <v>1035</v>
      </c>
      <c r="J228" s="22" t="s">
        <v>1224</v>
      </c>
      <c r="K228" s="11" t="s">
        <v>1467</v>
      </c>
      <c r="M228" s="17">
        <f>IFERROR(
IF(
$A228="","",
(VLOOKUP($G228,'nuevos productoss'!$A:$E,4,0))
),$C228)</f>
        <v>30093.284</v>
      </c>
      <c r="N228" s="17">
        <f>IFERROR(
IF(
$A228="","",
(VLOOKUP($G228,'nuevos productoss'!$A:$E,5,0))
),$C228)</f>
        <v>25502.768</v>
      </c>
      <c r="O228" s="17">
        <f t="shared" si="11"/>
        <v>4590.5159999999996</v>
      </c>
    </row>
    <row r="229" spans="1:15" x14ac:dyDescent="0.3">
      <c r="B229" s="20"/>
      <c r="C229" s="21"/>
      <c r="D229" s="18">
        <f t="shared" si="9"/>
        <v>0</v>
      </c>
      <c r="E229" s="21" t="str">
        <f t="shared" si="10"/>
        <v/>
      </c>
      <c r="F229" s="18"/>
      <c r="G229" s="5"/>
      <c r="H229" s="22" t="s">
        <v>1865</v>
      </c>
      <c r="I229" s="22" t="s">
        <v>1865</v>
      </c>
      <c r="J229" s="22" t="s">
        <v>1865</v>
      </c>
      <c r="K229" s="11" t="s">
        <v>1467</v>
      </c>
      <c r="M229" s="17" t="str">
        <f>IFERROR(
IF(
$A229="","",
(VLOOKUP($G229,'nuevos productoss'!$A:$E,4,0))
),$C229)</f>
        <v/>
      </c>
      <c r="N229" s="17" t="str">
        <f>IFERROR(
IF(
$A229="","",
(VLOOKUP($G229,'nuevos productoss'!$A:$E,5,0))
),$C229)</f>
        <v/>
      </c>
      <c r="O229" s="17">
        <f t="shared" si="11"/>
        <v>0</v>
      </c>
    </row>
    <row r="230" spans="1:15" x14ac:dyDescent="0.3">
      <c r="A230" s="5" t="s">
        <v>416</v>
      </c>
      <c r="B230" s="20">
        <v>90</v>
      </c>
      <c r="C230" s="21">
        <v>30210.116999999998</v>
      </c>
      <c r="D230" s="18">
        <f t="shared" si="9"/>
        <v>30210.116999999998</v>
      </c>
      <c r="E230" s="21">
        <f t="shared" si="10"/>
        <v>28699.611149999997</v>
      </c>
      <c r="F230" s="18">
        <v>1</v>
      </c>
      <c r="G230" s="23" t="s">
        <v>417</v>
      </c>
      <c r="H230" s="22" t="s">
        <v>1033</v>
      </c>
      <c r="I230" s="22" t="s">
        <v>1035</v>
      </c>
      <c r="J230" s="22" t="s">
        <v>1225</v>
      </c>
      <c r="K230" s="11" t="s">
        <v>1467</v>
      </c>
      <c r="M230" s="17">
        <f>IFERROR(
IF(
$A230="","",
(VLOOKUP($G230,'nuevos productoss'!$A:$E,4,0))
),$C230)</f>
        <v>29655.204000000002</v>
      </c>
      <c r="N230" s="17">
        <f>IFERROR(
IF(
$A230="","",
(VLOOKUP($G230,'nuevos productoss'!$A:$E,5,0))
),$C230)</f>
        <v>25131.583999999999</v>
      </c>
      <c r="O230" s="17">
        <f t="shared" si="11"/>
        <v>4523.6200000000026</v>
      </c>
    </row>
    <row r="231" spans="1:15" x14ac:dyDescent="0.3">
      <c r="A231" s="5" t="s">
        <v>418</v>
      </c>
      <c r="B231" s="20">
        <v>180</v>
      </c>
      <c r="C231" s="21">
        <v>44924.228999999999</v>
      </c>
      <c r="D231" s="18">
        <f t="shared" si="9"/>
        <v>44924.228999999999</v>
      </c>
      <c r="E231" s="21">
        <f t="shared" si="10"/>
        <v>42678.017549999997</v>
      </c>
      <c r="F231" s="18">
        <v>1</v>
      </c>
      <c r="G231" s="23" t="s">
        <v>419</v>
      </c>
      <c r="H231" s="22" t="s">
        <v>1033</v>
      </c>
      <c r="I231" s="22" t="s">
        <v>1035</v>
      </c>
      <c r="J231" s="22" t="s">
        <v>1224</v>
      </c>
      <c r="K231" s="11" t="s">
        <v>1467</v>
      </c>
      <c r="M231" s="17">
        <f>IFERROR(
IF(
$A231="","",
(VLOOKUP($G231,'nuevos productoss'!$A:$E,4,0))
),$C231)</f>
        <v>42139.447999999997</v>
      </c>
      <c r="N231" s="17">
        <f>IFERROR(
IF(
$A231="","",
(VLOOKUP($G231,'nuevos productoss'!$A:$E,5,0))
),$C231)</f>
        <v>35711.364000000001</v>
      </c>
      <c r="O231" s="17">
        <f t="shared" si="11"/>
        <v>6428.0839999999953</v>
      </c>
    </row>
    <row r="232" spans="1:15" x14ac:dyDescent="0.3">
      <c r="A232" s="5" t="s">
        <v>420</v>
      </c>
      <c r="B232" s="20">
        <v>360</v>
      </c>
      <c r="C232" s="21">
        <v>62889.392999999996</v>
      </c>
      <c r="D232" s="18">
        <f t="shared" si="9"/>
        <v>62889.392999999996</v>
      </c>
      <c r="E232" s="21">
        <f t="shared" si="10"/>
        <v>59744.923349999997</v>
      </c>
      <c r="F232" s="18">
        <v>1</v>
      </c>
      <c r="G232" s="23" t="s">
        <v>421</v>
      </c>
      <c r="H232" s="22" t="s">
        <v>1033</v>
      </c>
      <c r="I232" s="22" t="s">
        <v>1035</v>
      </c>
      <c r="J232" s="22" t="s">
        <v>1226</v>
      </c>
      <c r="K232" s="11" t="s">
        <v>1467</v>
      </c>
      <c r="M232" s="17">
        <f>IFERROR(
IF(
$A232="","",
(VLOOKUP($G232,'nuevos productoss'!$A:$E,4,0))
),$C232)</f>
        <v>61734.351999999999</v>
      </c>
      <c r="N232" s="17">
        <f>IFERROR(
IF(
$A232="","",
(VLOOKUP($G232,'nuevos productoss'!$A:$E,5,0))
),$C232)</f>
        <v>52317.26</v>
      </c>
      <c r="O232" s="17">
        <f t="shared" si="11"/>
        <v>9417.0919999999969</v>
      </c>
    </row>
    <row r="233" spans="1:15" x14ac:dyDescent="0.3">
      <c r="A233" s="5" t="s">
        <v>422</v>
      </c>
      <c r="B233" s="20">
        <v>360</v>
      </c>
      <c r="C233" s="21">
        <v>74681.145000000004</v>
      </c>
      <c r="D233" s="18">
        <f t="shared" si="9"/>
        <v>74681.145000000004</v>
      </c>
      <c r="E233" s="21">
        <f t="shared" si="10"/>
        <v>70947.087750000006</v>
      </c>
      <c r="F233" s="18">
        <v>1</v>
      </c>
      <c r="G233" s="23" t="s">
        <v>423</v>
      </c>
      <c r="H233" s="22" t="s">
        <v>1033</v>
      </c>
      <c r="I233" s="22" t="s">
        <v>1035</v>
      </c>
      <c r="J233" s="22" t="s">
        <v>1227</v>
      </c>
      <c r="K233" s="11" t="s">
        <v>1467</v>
      </c>
      <c r="M233" s="17">
        <f>IFERROR(
IF(
$A233="","",
(VLOOKUP($G233,'nuevos productoss'!$A:$E,4,0))
),$C233)</f>
        <v>73309.432000000001</v>
      </c>
      <c r="N233" s="17">
        <f>IFERROR(
IF(
$A233="","",
(VLOOKUP($G233,'nuevos productoss'!$A:$E,5,0))
),$C233)</f>
        <v>62126.7</v>
      </c>
      <c r="O233" s="17">
        <f t="shared" si="11"/>
        <v>11182.732000000004</v>
      </c>
    </row>
    <row r="234" spans="1:15" x14ac:dyDescent="0.3">
      <c r="A234" s="5" t="s">
        <v>424</v>
      </c>
      <c r="B234" s="20">
        <v>720</v>
      </c>
      <c r="C234" s="21">
        <v>85162.686000000002</v>
      </c>
      <c r="D234" s="18">
        <f t="shared" si="9"/>
        <v>85162.686000000002</v>
      </c>
      <c r="E234" s="21">
        <f t="shared" si="10"/>
        <v>80904.551699999996</v>
      </c>
      <c r="F234" s="18">
        <v>1</v>
      </c>
      <c r="G234" s="23" t="s">
        <v>425</v>
      </c>
      <c r="H234" s="22" t="s">
        <v>1033</v>
      </c>
      <c r="I234" s="22" t="s">
        <v>1035</v>
      </c>
      <c r="J234" s="22" t="s">
        <v>1228</v>
      </c>
      <c r="K234" s="11" t="s">
        <v>1467</v>
      </c>
      <c r="M234" s="17">
        <f>IFERROR(
IF(
$A234="","",
(VLOOKUP($G234,'nuevos productoss'!$A:$E,4,0))
),$C234)</f>
        <v>83598.539999999994</v>
      </c>
      <c r="N234" s="17">
        <f>IFERROR(
IF(
$A234="","",
(VLOOKUP($G234,'nuevos productoss'!$A:$E,5,0))
),$C234)</f>
        <v>70846.267999999996</v>
      </c>
      <c r="O234" s="17">
        <f t="shared" si="11"/>
        <v>12752.271999999997</v>
      </c>
    </row>
    <row r="235" spans="1:15" x14ac:dyDescent="0.3">
      <c r="A235" s="5" t="s">
        <v>426</v>
      </c>
      <c r="B235" s="20">
        <v>360</v>
      </c>
      <c r="C235" s="21">
        <v>100885.071</v>
      </c>
      <c r="D235" s="18">
        <f t="shared" si="9"/>
        <v>100885.071</v>
      </c>
      <c r="E235" s="21">
        <f t="shared" si="10"/>
        <v>95840.817449999988</v>
      </c>
      <c r="F235" s="18">
        <v>1</v>
      </c>
      <c r="G235" s="23" t="s">
        <v>427</v>
      </c>
      <c r="H235" s="22" t="s">
        <v>1033</v>
      </c>
      <c r="I235" s="22" t="s">
        <v>1035</v>
      </c>
      <c r="J235" s="22" t="s">
        <v>1229</v>
      </c>
      <c r="K235" s="11" t="s">
        <v>1467</v>
      </c>
      <c r="M235" s="17">
        <f>IFERROR(
IF(
$A235="","",
(VLOOKUP($G235,'nuevos productoss'!$A:$E,4,0))
),$C235)</f>
        <v>99032.127999999997</v>
      </c>
      <c r="N235" s="17">
        <f>IFERROR(
IF(
$A235="","",
(VLOOKUP($G235,'nuevos productoss'!$A:$E,5,0))
),$C235)</f>
        <v>83925.471999999994</v>
      </c>
      <c r="O235" s="17">
        <f t="shared" si="11"/>
        <v>15106.656000000003</v>
      </c>
    </row>
    <row r="236" spans="1:15" x14ac:dyDescent="0.3">
      <c r="A236" s="5" t="s">
        <v>428</v>
      </c>
      <c r="B236" s="20">
        <v>720</v>
      </c>
      <c r="C236" s="21">
        <v>106787.41499999999</v>
      </c>
      <c r="D236" s="18">
        <f t="shared" si="9"/>
        <v>106787.41499999999</v>
      </c>
      <c r="E236" s="21">
        <f t="shared" si="10"/>
        <v>101448.04424999999</v>
      </c>
      <c r="F236" s="18">
        <v>1</v>
      </c>
      <c r="G236" s="23" t="s">
        <v>429</v>
      </c>
      <c r="H236" s="22" t="s">
        <v>1033</v>
      </c>
      <c r="I236" s="22" t="s">
        <v>1035</v>
      </c>
      <c r="J236" s="22" t="s">
        <v>1230</v>
      </c>
      <c r="K236" s="11" t="s">
        <v>1467</v>
      </c>
      <c r="M236" s="17">
        <f>IFERROR(
IF(
$A236="","",
(VLOOKUP($G236,'nuevos productoss'!$A:$E,4,0))
),$C236)</f>
        <v>104833.58</v>
      </c>
      <c r="N236" s="17">
        <f>IFERROR(
IF(
$A236="","",
(VLOOKUP($G236,'nuevos productoss'!$A:$E,5,0))
),$C236)</f>
        <v>88842.032000000007</v>
      </c>
      <c r="O236" s="17">
        <f t="shared" si="11"/>
        <v>15991.547999999995</v>
      </c>
    </row>
    <row r="237" spans="1:15" x14ac:dyDescent="0.3">
      <c r="A237" s="5" t="s">
        <v>430</v>
      </c>
      <c r="B237" s="20">
        <v>720</v>
      </c>
      <c r="C237" s="21">
        <v>134772.54</v>
      </c>
      <c r="D237" s="18">
        <f t="shared" si="9"/>
        <v>134772.54</v>
      </c>
      <c r="E237" s="21">
        <f t="shared" si="10"/>
        <v>128033.913</v>
      </c>
      <c r="F237" s="18">
        <v>1</v>
      </c>
      <c r="G237" s="23" t="s">
        <v>431</v>
      </c>
      <c r="H237" s="22" t="s">
        <v>1033</v>
      </c>
      <c r="I237" s="22" t="s">
        <v>1035</v>
      </c>
      <c r="J237" s="22" t="s">
        <v>1231</v>
      </c>
      <c r="K237" s="11" t="s">
        <v>1467</v>
      </c>
      <c r="M237" s="17">
        <f>IFERROR(
IF(
$A237="","",
(VLOOKUP($G237,'nuevos productoss'!$A:$E,4,0))
),$C237)</f>
        <v>132306.67199999999</v>
      </c>
      <c r="N237" s="17">
        <f>IFERROR(
IF(
$A237="","",
(VLOOKUP($G237,'nuevos productoss'!$A:$E,5,0))
),$C237)</f>
        <v>112124.208</v>
      </c>
      <c r="O237" s="17">
        <f t="shared" si="11"/>
        <v>20182.463999999993</v>
      </c>
    </row>
    <row r="238" spans="1:15" x14ac:dyDescent="0.3">
      <c r="B238" s="20"/>
      <c r="C238" s="21"/>
      <c r="D238" s="18">
        <f t="shared" si="9"/>
        <v>0</v>
      </c>
      <c r="E238" s="21" t="str">
        <f t="shared" si="10"/>
        <v/>
      </c>
      <c r="F238" s="18"/>
      <c r="G238" s="5"/>
      <c r="H238" s="22" t="s">
        <v>1865</v>
      </c>
      <c r="I238" s="22" t="s">
        <v>1865</v>
      </c>
      <c r="J238" s="22" t="s">
        <v>1865</v>
      </c>
      <c r="K238" s="11" t="s">
        <v>1467</v>
      </c>
      <c r="M238" s="17" t="str">
        <f>IFERROR(
IF(
$A238="","",
(VLOOKUP($G238,'nuevos productoss'!$A:$E,4,0))
),$C238)</f>
        <v/>
      </c>
      <c r="N238" s="17" t="str">
        <f>IFERROR(
IF(
$A238="","",
(VLOOKUP($G238,'nuevos productoss'!$A:$E,5,0))
),$C238)</f>
        <v/>
      </c>
      <c r="O238" s="17">
        <f t="shared" si="11"/>
        <v>0</v>
      </c>
    </row>
    <row r="239" spans="1:15" x14ac:dyDescent="0.3">
      <c r="A239" s="5" t="s">
        <v>432</v>
      </c>
      <c r="B239" s="20">
        <v>90</v>
      </c>
      <c r="C239" s="21">
        <v>63714.650999999998</v>
      </c>
      <c r="D239" s="18">
        <f t="shared" si="9"/>
        <v>63714.650999999998</v>
      </c>
      <c r="E239" s="21">
        <f t="shared" si="10"/>
        <v>60528.918449999997</v>
      </c>
      <c r="F239" s="18">
        <v>1</v>
      </c>
      <c r="G239" s="23" t="s">
        <v>433</v>
      </c>
      <c r="H239" s="22" t="s">
        <v>1033</v>
      </c>
      <c r="I239" s="22" t="s">
        <v>1028</v>
      </c>
      <c r="J239" s="22" t="s">
        <v>1232</v>
      </c>
      <c r="K239" s="11" t="s">
        <v>1467</v>
      </c>
      <c r="M239" s="17">
        <f>IFERROR(
IF(
$A239="","",
(VLOOKUP($G239,'nuevos productoss'!$A:$E,4,0))
),$C239)</f>
        <v>64483.748</v>
      </c>
      <c r="N239" s="17">
        <f>IFERROR(
IF(
$A239="","",
(VLOOKUP($G239,'nuevos productoss'!$A:$E,5,0))
),$C239)</f>
        <v>54647.224000000002</v>
      </c>
      <c r="O239" s="17">
        <f t="shared" si="11"/>
        <v>9836.5239999999976</v>
      </c>
    </row>
    <row r="240" spans="1:15" x14ac:dyDescent="0.3">
      <c r="A240" s="5" t="s">
        <v>434</v>
      </c>
      <c r="B240" s="20">
        <v>180</v>
      </c>
      <c r="C240" s="21">
        <v>48094.724999999999</v>
      </c>
      <c r="D240" s="18">
        <f t="shared" si="9"/>
        <v>48094.724999999999</v>
      </c>
      <c r="E240" s="21">
        <f t="shared" si="10"/>
        <v>45689.988749999997</v>
      </c>
      <c r="F240" s="18">
        <v>1</v>
      </c>
      <c r="G240" s="23" t="s">
        <v>435</v>
      </c>
      <c r="H240" s="22" t="s">
        <v>1033</v>
      </c>
      <c r="I240" s="22" t="s">
        <v>1028</v>
      </c>
      <c r="J240" s="22" t="s">
        <v>1233</v>
      </c>
      <c r="K240" s="11" t="s">
        <v>1467</v>
      </c>
      <c r="M240" s="17">
        <f>IFERROR(
IF(
$A240="","",
(VLOOKUP($G240,'nuevos productoss'!$A:$E,4,0))
),$C240)</f>
        <v>46059.82</v>
      </c>
      <c r="N240" s="17">
        <f>IFERROR(
IF(
$A240="","",
(VLOOKUP($G240,'nuevos productoss'!$A:$E,5,0))
),$C240)</f>
        <v>39033.667999999998</v>
      </c>
      <c r="O240" s="17">
        <f t="shared" si="11"/>
        <v>7026.1520000000019</v>
      </c>
    </row>
    <row r="241" spans="1:15" x14ac:dyDescent="0.3">
      <c r="A241" s="5" t="s">
        <v>436</v>
      </c>
      <c r="B241" s="20">
        <v>180</v>
      </c>
      <c r="C241" s="21">
        <v>52771.53</v>
      </c>
      <c r="D241" s="18">
        <f t="shared" si="9"/>
        <v>52771.53</v>
      </c>
      <c r="E241" s="21">
        <f t="shared" si="10"/>
        <v>50132.953499999996</v>
      </c>
      <c r="F241" s="18">
        <v>1</v>
      </c>
      <c r="G241" s="23" t="s">
        <v>437</v>
      </c>
      <c r="H241" s="22" t="s">
        <v>1033</v>
      </c>
      <c r="I241" s="22" t="s">
        <v>1028</v>
      </c>
      <c r="J241" s="22" t="s">
        <v>1234</v>
      </c>
      <c r="K241" s="11" t="s">
        <v>1467</v>
      </c>
      <c r="M241" s="17">
        <f>IFERROR(
IF(
$A241="","",
(VLOOKUP($G241,'nuevos productoss'!$A:$E,4,0))
),$C241)</f>
        <v>52369.947999999997</v>
      </c>
      <c r="N241" s="17">
        <f>IFERROR(
IF(
$A241="","",
(VLOOKUP($G241,'nuevos productoss'!$A:$E,5,0))
),$C241)</f>
        <v>44381.351999999999</v>
      </c>
      <c r="O241" s="17">
        <f t="shared" si="11"/>
        <v>7988.5959999999977</v>
      </c>
    </row>
    <row r="242" spans="1:15" x14ac:dyDescent="0.3">
      <c r="A242" s="5" t="s">
        <v>438</v>
      </c>
      <c r="B242" s="20">
        <v>180</v>
      </c>
      <c r="C242" s="21">
        <v>66803.709000000003</v>
      </c>
      <c r="D242" s="18">
        <f t="shared" si="9"/>
        <v>66803.709000000003</v>
      </c>
      <c r="E242" s="21">
        <f t="shared" si="10"/>
        <v>63463.523549999998</v>
      </c>
      <c r="F242" s="18">
        <v>1</v>
      </c>
      <c r="G242" s="23" t="s">
        <v>439</v>
      </c>
      <c r="H242" s="22" t="s">
        <v>1033</v>
      </c>
      <c r="I242" s="22" t="s">
        <v>1028</v>
      </c>
      <c r="J242" s="22" t="s">
        <v>1235</v>
      </c>
      <c r="K242" s="11" t="s">
        <v>1467</v>
      </c>
      <c r="M242" s="17">
        <f>IFERROR(
IF(
$A242="","",
(VLOOKUP($G242,'nuevos productoss'!$A:$E,4,0))
),$C242)</f>
        <v>66803.709000000003</v>
      </c>
      <c r="N242" s="17">
        <f>IFERROR(
IF(
$A242="","",
(VLOOKUP($G242,'nuevos productoss'!$A:$E,5,0))
),$C242)</f>
        <v>66803.709000000003</v>
      </c>
      <c r="O242" s="17">
        <f t="shared" si="11"/>
        <v>0</v>
      </c>
    </row>
    <row r="243" spans="1:15" x14ac:dyDescent="0.3">
      <c r="A243" s="5" t="s">
        <v>440</v>
      </c>
      <c r="B243" s="20">
        <v>180</v>
      </c>
      <c r="C243" s="21">
        <v>68235.195000000007</v>
      </c>
      <c r="D243" s="18">
        <f t="shared" si="9"/>
        <v>68235.195000000007</v>
      </c>
      <c r="E243" s="21">
        <f t="shared" si="10"/>
        <v>64823.435250000002</v>
      </c>
      <c r="F243" s="18">
        <v>1</v>
      </c>
      <c r="G243" s="23" t="s">
        <v>441</v>
      </c>
      <c r="H243" s="22" t="s">
        <v>1033</v>
      </c>
      <c r="I243" s="22" t="s">
        <v>1028</v>
      </c>
      <c r="J243" s="22" t="s">
        <v>1236</v>
      </c>
      <c r="K243" s="11" t="s">
        <v>1467</v>
      </c>
      <c r="M243" s="17">
        <f>IFERROR(
IF(
$A243="","",
(VLOOKUP($G243,'nuevos productoss'!$A:$E,4,0))
),$C243)</f>
        <v>66991.460000000006</v>
      </c>
      <c r="N243" s="17">
        <f>IFERROR(
IF(
$A243="","",
(VLOOKUP($G243,'nuevos productoss'!$A:$E,5,0))
),$C243)</f>
        <v>56772.356</v>
      </c>
      <c r="O243" s="17">
        <f t="shared" si="11"/>
        <v>10219.104000000007</v>
      </c>
    </row>
    <row r="244" spans="1:15" x14ac:dyDescent="0.3">
      <c r="A244" s="5" t="s">
        <v>442</v>
      </c>
      <c r="B244" s="20">
        <v>90</v>
      </c>
      <c r="C244" s="21">
        <v>82934.019</v>
      </c>
      <c r="D244" s="18">
        <f t="shared" si="9"/>
        <v>82934.019</v>
      </c>
      <c r="E244" s="21">
        <f t="shared" si="10"/>
        <v>78787.318050000002</v>
      </c>
      <c r="F244" s="18">
        <v>1</v>
      </c>
      <c r="G244" s="23" t="s">
        <v>443</v>
      </c>
      <c r="H244" s="22" t="s">
        <v>1033</v>
      </c>
      <c r="I244" s="22" t="s">
        <v>1028</v>
      </c>
      <c r="J244" s="22" t="s">
        <v>1237</v>
      </c>
      <c r="K244" s="11" t="s">
        <v>1467</v>
      </c>
      <c r="M244" s="17">
        <f>IFERROR(
IF(
$A244="","",
(VLOOKUP($G244,'nuevos productoss'!$A:$E,4,0))
),$C244)</f>
        <v>82907.676000000007</v>
      </c>
      <c r="N244" s="17">
        <f>IFERROR(
IF(
$A244="","",
(VLOOKUP($G244,'nuevos productoss'!$A:$E,5,0))
),$C244)</f>
        <v>70260.78</v>
      </c>
      <c r="O244" s="17">
        <f t="shared" si="11"/>
        <v>12646.896000000008</v>
      </c>
    </row>
    <row r="245" spans="1:15" x14ac:dyDescent="0.3">
      <c r="B245" s="20"/>
      <c r="C245" s="21"/>
      <c r="D245" s="18">
        <f t="shared" si="9"/>
        <v>0</v>
      </c>
      <c r="E245" s="21" t="str">
        <f t="shared" si="10"/>
        <v/>
      </c>
      <c r="F245" s="18"/>
      <c r="G245" s="5"/>
      <c r="H245" s="22" t="s">
        <v>1865</v>
      </c>
      <c r="I245" s="22" t="s">
        <v>1865</v>
      </c>
      <c r="J245" s="22" t="s">
        <v>1865</v>
      </c>
      <c r="K245" s="11" t="s">
        <v>1467</v>
      </c>
      <c r="M245" s="17" t="str">
        <f>IFERROR(
IF(
$A245="","",
(VLOOKUP($G245,'nuevos productoss'!$A:$E,4,0))
),$C245)</f>
        <v/>
      </c>
      <c r="N245" s="17" t="str">
        <f>IFERROR(
IF(
$A245="","",
(VLOOKUP($G245,'nuevos productoss'!$A:$E,5,0))
),$C245)</f>
        <v/>
      </c>
      <c r="O245" s="17">
        <f t="shared" si="11"/>
        <v>0</v>
      </c>
    </row>
    <row r="246" spans="1:15" x14ac:dyDescent="0.3">
      <c r="A246" s="5" t="s">
        <v>444</v>
      </c>
      <c r="B246" s="20">
        <v>180</v>
      </c>
      <c r="C246" s="21">
        <v>97281.66</v>
      </c>
      <c r="D246" s="18">
        <f t="shared" si="9"/>
        <v>97281.66</v>
      </c>
      <c r="E246" s="21">
        <f t="shared" si="10"/>
        <v>92417.577000000005</v>
      </c>
      <c r="F246" s="18">
        <v>1</v>
      </c>
      <c r="G246" s="23" t="s">
        <v>445</v>
      </c>
      <c r="H246" s="22" t="s">
        <v>1033</v>
      </c>
      <c r="I246" s="22" t="s">
        <v>1028</v>
      </c>
      <c r="J246" s="22" t="s">
        <v>1238</v>
      </c>
      <c r="K246" s="11" t="s">
        <v>1467</v>
      </c>
      <c r="M246" s="17">
        <f>IFERROR(
IF(
$A246="","",
(VLOOKUP($G246,'nuevos productoss'!$A:$E,4,0))
),$C246)</f>
        <v>95487.823999999993</v>
      </c>
      <c r="N246" s="17">
        <f>IFERROR(
IF(
$A246="","",
(VLOOKUP($G246,'nuevos productoss'!$A:$E,5,0))
),$C246)</f>
        <v>80921.960000000006</v>
      </c>
      <c r="O246" s="17">
        <f t="shared" si="11"/>
        <v>14565.863999999987</v>
      </c>
    </row>
    <row r="247" spans="1:15" x14ac:dyDescent="0.3">
      <c r="A247" s="5" t="s">
        <v>446</v>
      </c>
      <c r="B247" s="20">
        <v>180</v>
      </c>
      <c r="C247" s="21">
        <v>70700.237999999998</v>
      </c>
      <c r="D247" s="18">
        <f t="shared" si="9"/>
        <v>70700.237999999998</v>
      </c>
      <c r="E247" s="21">
        <f t="shared" si="10"/>
        <v>67165.2261</v>
      </c>
      <c r="F247" s="18">
        <v>1</v>
      </c>
      <c r="G247" s="23" t="s">
        <v>447</v>
      </c>
      <c r="H247" s="22" t="s">
        <v>1033</v>
      </c>
      <c r="I247" s="22" t="s">
        <v>1028</v>
      </c>
      <c r="J247" s="22" t="s">
        <v>1239</v>
      </c>
      <c r="K247" s="11" t="s">
        <v>1467</v>
      </c>
      <c r="M247" s="17">
        <f>IFERROR(
IF(
$A247="","",
(VLOOKUP($G247,'nuevos productoss'!$A:$E,4,0))
),$C247)</f>
        <v>69401.64</v>
      </c>
      <c r="N247" s="17">
        <f>IFERROR(
IF(
$A247="","",
(VLOOKUP($G247,'nuevos productoss'!$A:$E,5,0))
),$C247)</f>
        <v>58815.052000000003</v>
      </c>
      <c r="O247" s="17">
        <f t="shared" si="11"/>
        <v>10586.587999999996</v>
      </c>
    </row>
    <row r="248" spans="1:15" x14ac:dyDescent="0.3">
      <c r="A248" s="5" t="s">
        <v>448</v>
      </c>
      <c r="B248" s="20">
        <v>180</v>
      </c>
      <c r="C248" s="21">
        <v>80564.379000000001</v>
      </c>
      <c r="D248" s="18">
        <f t="shared" si="9"/>
        <v>80564.379000000001</v>
      </c>
      <c r="E248" s="21">
        <f t="shared" si="10"/>
        <v>76536.160049999991</v>
      </c>
      <c r="F248" s="18">
        <v>1</v>
      </c>
      <c r="G248" s="23" t="s">
        <v>449</v>
      </c>
      <c r="H248" s="22" t="s">
        <v>1033</v>
      </c>
      <c r="I248" s="22" t="s">
        <v>1028</v>
      </c>
      <c r="J248" s="22" t="s">
        <v>1240</v>
      </c>
      <c r="K248" s="11" t="s">
        <v>1467</v>
      </c>
      <c r="M248" s="17">
        <f>IFERROR(
IF(
$A248="","",
(VLOOKUP($G248,'nuevos productoss'!$A:$E,4,0))
),$C248)</f>
        <v>79084.687999999995</v>
      </c>
      <c r="N248" s="17">
        <f>IFERROR(
IF(
$A248="","",
(VLOOKUP($G248,'nuevos productoss'!$A:$E,5,0))
),$C248)</f>
        <v>67020.911999999997</v>
      </c>
      <c r="O248" s="17">
        <f t="shared" si="11"/>
        <v>12063.775999999998</v>
      </c>
    </row>
    <row r="249" spans="1:15" x14ac:dyDescent="0.3">
      <c r="B249" s="20"/>
      <c r="C249" s="21"/>
      <c r="D249" s="18">
        <f t="shared" si="9"/>
        <v>0</v>
      </c>
      <c r="E249" s="21" t="str">
        <f t="shared" si="10"/>
        <v/>
      </c>
      <c r="F249" s="18"/>
      <c r="G249" s="5"/>
      <c r="H249" s="22" t="s">
        <v>1865</v>
      </c>
      <c r="I249" s="22" t="s">
        <v>1865</v>
      </c>
      <c r="J249" s="22" t="s">
        <v>1865</v>
      </c>
      <c r="K249" s="11" t="s">
        <v>1467</v>
      </c>
      <c r="M249" s="17" t="str">
        <f>IFERROR(
IF(
$A249="","",
(VLOOKUP($G249,'nuevos productoss'!$A:$E,4,0))
),$C249)</f>
        <v/>
      </c>
      <c r="N249" s="17" t="str">
        <f>IFERROR(
IF(
$A249="","",
(VLOOKUP($G249,'nuevos productoss'!$A:$E,5,0))
),$C249)</f>
        <v/>
      </c>
      <c r="O249" s="17">
        <f t="shared" si="11"/>
        <v>0</v>
      </c>
    </row>
    <row r="250" spans="1:15" x14ac:dyDescent="0.3">
      <c r="A250" s="5" t="s">
        <v>450</v>
      </c>
      <c r="B250" s="20">
        <v>0</v>
      </c>
      <c r="C250" s="21">
        <v>6245.5889999999999</v>
      </c>
      <c r="D250" s="18">
        <f t="shared" si="9"/>
        <v>6245.5889999999999</v>
      </c>
      <c r="E250" s="21">
        <f t="shared" si="10"/>
        <v>5933.3095499999999</v>
      </c>
      <c r="F250" s="18">
        <v>1</v>
      </c>
      <c r="G250" s="23" t="s">
        <v>451</v>
      </c>
      <c r="H250" s="22" t="s">
        <v>1055</v>
      </c>
      <c r="I250" s="22" t="s">
        <v>1060</v>
      </c>
      <c r="J250" s="22" t="s">
        <v>1241</v>
      </c>
      <c r="K250" s="11" t="s">
        <v>1467</v>
      </c>
      <c r="M250" s="17">
        <f>IFERROR(
IF(
$A250="","",
(VLOOKUP($G250,'nuevos productoss'!$A:$E,4,0))
),$C250)</f>
        <v>6133.86</v>
      </c>
      <c r="N250" s="17">
        <f>IFERROR(
IF(
$A250="","",
(VLOOKUP($G250,'nuevos productoss'!$A:$E,5,0))
),$C250)</f>
        <v>5198.2039999999997</v>
      </c>
      <c r="O250" s="17">
        <f t="shared" si="11"/>
        <v>935.65599999999995</v>
      </c>
    </row>
    <row r="251" spans="1:15" x14ac:dyDescent="0.3">
      <c r="A251" s="5" t="s">
        <v>452</v>
      </c>
      <c r="B251" s="20">
        <v>0</v>
      </c>
      <c r="C251" s="21">
        <v>8327.5499999999993</v>
      </c>
      <c r="D251" s="18">
        <f t="shared" si="9"/>
        <v>8327.5499999999993</v>
      </c>
      <c r="E251" s="21">
        <f t="shared" si="10"/>
        <v>7911.1724999999988</v>
      </c>
      <c r="F251" s="18">
        <v>1</v>
      </c>
      <c r="G251" s="23" t="s">
        <v>453</v>
      </c>
      <c r="H251" s="22" t="s">
        <v>1055</v>
      </c>
      <c r="I251" s="22" t="s">
        <v>1060</v>
      </c>
      <c r="J251" s="22" t="s">
        <v>1242</v>
      </c>
      <c r="K251" s="11" t="s">
        <v>1467</v>
      </c>
      <c r="M251" s="17">
        <f>IFERROR(
IF(
$A251="","",
(VLOOKUP($G251,'nuevos productoss'!$A:$E,4,0))
),$C251)</f>
        <v>8178.48</v>
      </c>
      <c r="N251" s="17">
        <f>IFERROR(
IF(
$A251="","",
(VLOOKUP($G251,'nuevos productoss'!$A:$E,5,0))
),$C251)</f>
        <v>6930.84</v>
      </c>
      <c r="O251" s="17">
        <f t="shared" si="11"/>
        <v>1247.6399999999994</v>
      </c>
    </row>
    <row r="252" spans="1:15" x14ac:dyDescent="0.3">
      <c r="A252" s="5" t="s">
        <v>454</v>
      </c>
      <c r="B252" s="20">
        <v>180</v>
      </c>
      <c r="C252" s="21">
        <v>33785.892</v>
      </c>
      <c r="D252" s="18">
        <f t="shared" si="9"/>
        <v>33785.892</v>
      </c>
      <c r="E252" s="21">
        <f t="shared" si="10"/>
        <v>32096.597399999999</v>
      </c>
      <c r="F252" s="18">
        <v>1</v>
      </c>
      <c r="G252" s="23" t="s">
        <v>455</v>
      </c>
      <c r="H252" s="22" t="s">
        <v>1055</v>
      </c>
      <c r="I252" s="22" t="s">
        <v>1057</v>
      </c>
      <c r="J252" s="22" t="s">
        <v>1243</v>
      </c>
      <c r="K252" s="11" t="s">
        <v>1467</v>
      </c>
      <c r="M252" s="17">
        <f>IFERROR(
IF(
$A252="","",
(VLOOKUP($G252,'nuevos productoss'!$A:$E,4,0))
),$C252)</f>
        <v>33167.836000000003</v>
      </c>
      <c r="N252" s="17">
        <f>IFERROR(
IF(
$A252="","",
(VLOOKUP($G252,'nuevos productoss'!$A:$E,5,0))
),$C252)</f>
        <v>28108.308000000001</v>
      </c>
      <c r="O252" s="17">
        <f t="shared" si="11"/>
        <v>5059.5280000000021</v>
      </c>
    </row>
    <row r="253" spans="1:15" x14ac:dyDescent="0.3">
      <c r="A253" s="5" t="s">
        <v>456</v>
      </c>
      <c r="B253" s="20">
        <v>180</v>
      </c>
      <c r="C253" s="21">
        <v>52199.847000000002</v>
      </c>
      <c r="D253" s="18">
        <f t="shared" si="9"/>
        <v>52199.847000000002</v>
      </c>
      <c r="E253" s="21">
        <f t="shared" si="10"/>
        <v>49589.854650000001</v>
      </c>
      <c r="F253" s="18">
        <v>1</v>
      </c>
      <c r="G253" s="23" t="s">
        <v>457</v>
      </c>
      <c r="H253" s="22" t="s">
        <v>1055</v>
      </c>
      <c r="I253" s="22" t="s">
        <v>1057</v>
      </c>
      <c r="J253" s="22" t="s">
        <v>1244</v>
      </c>
      <c r="K253" s="11" t="s">
        <v>1467</v>
      </c>
      <c r="M253" s="17">
        <f>IFERROR(
IF(
$A253="","",
(VLOOKUP($G253,'nuevos productoss'!$A:$E,4,0))
),$C253)</f>
        <v>51237.451999999997</v>
      </c>
      <c r="N253" s="17">
        <f>IFERROR(
IF(
$A253="","",
(VLOOKUP($G253,'nuevos productoss'!$A:$E,5,0))
),$C253)</f>
        <v>43421.572</v>
      </c>
      <c r="O253" s="17">
        <f t="shared" si="11"/>
        <v>7815.8799999999974</v>
      </c>
    </row>
    <row r="254" spans="1:15" x14ac:dyDescent="0.3">
      <c r="A254" s="5" t="s">
        <v>458</v>
      </c>
      <c r="B254" s="20">
        <v>15</v>
      </c>
      <c r="C254" s="21">
        <v>14117.733</v>
      </c>
      <c r="D254" s="18">
        <f t="shared" si="9"/>
        <v>14117.733</v>
      </c>
      <c r="E254" s="21">
        <f t="shared" si="10"/>
        <v>13411.84635</v>
      </c>
      <c r="F254" s="18">
        <v>1</v>
      </c>
      <c r="G254" s="23" t="s">
        <v>459</v>
      </c>
      <c r="H254" s="22" t="s">
        <v>1046</v>
      </c>
      <c r="I254" s="22" t="s">
        <v>1050</v>
      </c>
      <c r="J254" s="22" t="s">
        <v>1245</v>
      </c>
      <c r="K254" s="11" t="s">
        <v>1467</v>
      </c>
      <c r="M254" s="17">
        <f>IFERROR(
IF(
$A254="","",
(VLOOKUP($G254,'nuevos productoss'!$A:$E,4,0))
),$C254)</f>
        <v>13859.46</v>
      </c>
      <c r="N254" s="17">
        <f>IFERROR(
IF(
$A254="","",
(VLOOKUP($G254,'nuevos productoss'!$A:$E,5,0))
),$C254)</f>
        <v>11745.28</v>
      </c>
      <c r="O254" s="17">
        <f t="shared" si="11"/>
        <v>2114.1799999999985</v>
      </c>
    </row>
    <row r="255" spans="1:15" x14ac:dyDescent="0.3">
      <c r="A255" s="5" t="s">
        <v>460</v>
      </c>
      <c r="B255" s="20">
        <v>15</v>
      </c>
      <c r="C255" s="21">
        <v>10667.349</v>
      </c>
      <c r="D255" s="18">
        <f t="shared" si="9"/>
        <v>10667.349</v>
      </c>
      <c r="E255" s="21">
        <f t="shared" si="10"/>
        <v>10133.98155</v>
      </c>
      <c r="F255" s="18">
        <v>1</v>
      </c>
      <c r="G255" s="23" t="s">
        <v>461</v>
      </c>
      <c r="H255" s="22" t="s">
        <v>1046</v>
      </c>
      <c r="I255" s="22" t="s">
        <v>1050</v>
      </c>
      <c r="J255" s="22" t="s">
        <v>1245</v>
      </c>
      <c r="K255" s="11" t="s">
        <v>1467</v>
      </c>
      <c r="M255" s="17">
        <f>IFERROR(
IF(
$A255="","",
(VLOOKUP($G255,'nuevos productoss'!$A:$E,4,0))
),$C255)</f>
        <v>10472.183999999999</v>
      </c>
      <c r="N255" s="17">
        <f>IFERROR(
IF(
$A255="","",
(VLOOKUP($G255,'nuevos productoss'!$A:$E,5,0))
),$C255)</f>
        <v>8874.82</v>
      </c>
      <c r="O255" s="17">
        <f t="shared" si="11"/>
        <v>1597.3639999999996</v>
      </c>
    </row>
    <row r="256" spans="1:15" x14ac:dyDescent="0.3">
      <c r="A256" s="5" t="s">
        <v>462</v>
      </c>
      <c r="B256" s="20">
        <v>30</v>
      </c>
      <c r="C256" s="21">
        <v>14795.991</v>
      </c>
      <c r="D256" s="18">
        <f t="shared" si="9"/>
        <v>14795.991</v>
      </c>
      <c r="E256" s="21">
        <f t="shared" si="10"/>
        <v>14056.191449999998</v>
      </c>
      <c r="F256" s="18">
        <v>1</v>
      </c>
      <c r="G256" s="23" t="s">
        <v>463</v>
      </c>
      <c r="H256" s="22" t="s">
        <v>1046</v>
      </c>
      <c r="I256" s="22" t="s">
        <v>1050</v>
      </c>
      <c r="J256" s="22" t="s">
        <v>1246</v>
      </c>
      <c r="K256" s="11" t="s">
        <v>1467</v>
      </c>
      <c r="M256" s="17">
        <f>IFERROR(
IF(
$A256="","",
(VLOOKUP($G256,'nuevos productoss'!$A:$E,4,0))
),$C256)</f>
        <v>14526.348</v>
      </c>
      <c r="N256" s="17">
        <f>IFERROR(
IF(
$A256="","",
(VLOOKUP($G256,'nuevos productoss'!$A:$E,5,0))
),$C256)</f>
        <v>12310.492</v>
      </c>
      <c r="O256" s="17">
        <f t="shared" si="11"/>
        <v>2215.8559999999998</v>
      </c>
    </row>
    <row r="257" spans="1:15" x14ac:dyDescent="0.3">
      <c r="A257" s="5" t="s">
        <v>464</v>
      </c>
      <c r="B257" s="20">
        <v>360</v>
      </c>
      <c r="C257" s="21">
        <v>156272.90700000001</v>
      </c>
      <c r="D257" s="18">
        <f t="shared" si="9"/>
        <v>156272.90700000001</v>
      </c>
      <c r="E257" s="21">
        <f t="shared" si="10"/>
        <v>148459.26165</v>
      </c>
      <c r="F257" s="18">
        <v>1</v>
      </c>
      <c r="G257" s="23" t="s">
        <v>465</v>
      </c>
      <c r="H257" s="22" t="s">
        <v>1058</v>
      </c>
      <c r="I257" s="22" t="s">
        <v>1065</v>
      </c>
      <c r="J257" s="22" t="s">
        <v>1247</v>
      </c>
      <c r="K257" s="11" t="s">
        <v>1467</v>
      </c>
      <c r="M257" s="17">
        <f>IFERROR(
IF(
$A257="","",
(VLOOKUP($G257,'nuevos productoss'!$A:$E,4,0))
),$C257)</f>
        <v>153424.348</v>
      </c>
      <c r="N257" s="17">
        <f>IFERROR(
IF(
$A257="","",
(VLOOKUP($G257,'nuevos productoss'!$A:$E,5,0))
),$C257)</f>
        <v>130020.664</v>
      </c>
      <c r="O257" s="17">
        <f t="shared" si="11"/>
        <v>23403.683999999994</v>
      </c>
    </row>
    <row r="258" spans="1:15" x14ac:dyDescent="0.3">
      <c r="A258" s="5" t="s">
        <v>466</v>
      </c>
      <c r="B258" s="20">
        <v>360</v>
      </c>
      <c r="C258" s="21">
        <v>221979.114</v>
      </c>
      <c r="D258" s="18">
        <f t="shared" si="9"/>
        <v>221979.114</v>
      </c>
      <c r="E258" s="21">
        <f t="shared" si="10"/>
        <v>210880.15829999998</v>
      </c>
      <c r="F258" s="18">
        <v>1</v>
      </c>
      <c r="G258" s="23" t="s">
        <v>467</v>
      </c>
      <c r="H258" s="22" t="s">
        <v>1058</v>
      </c>
      <c r="I258" s="22" t="s">
        <v>1065</v>
      </c>
      <c r="J258" s="22" t="s">
        <v>1248</v>
      </c>
      <c r="K258" s="11" t="s">
        <v>1467</v>
      </c>
      <c r="M258" s="17">
        <f>IFERROR(
IF(
$A258="","",
(VLOOKUP($G258,'nuevos productoss'!$A:$E,4,0))
),$C258)</f>
        <v>217932.96</v>
      </c>
      <c r="N258" s="17">
        <f>IFERROR(
IF(
$A258="","",
(VLOOKUP($G258,'nuevos productoss'!$A:$E,5,0))
),$C258)</f>
        <v>184688.90400000001</v>
      </c>
      <c r="O258" s="17">
        <f t="shared" si="11"/>
        <v>33244.055999999982</v>
      </c>
    </row>
    <row r="259" spans="1:15" x14ac:dyDescent="0.3">
      <c r="A259" s="5" t="s">
        <v>468</v>
      </c>
      <c r="B259" s="20">
        <v>360</v>
      </c>
      <c r="C259" s="21">
        <v>239365.83300000001</v>
      </c>
      <c r="D259" s="18">
        <f t="shared" ref="D259:D322" si="12">+C259</f>
        <v>239365.83300000001</v>
      </c>
      <c r="E259" s="21">
        <f t="shared" ref="E259:E322" si="13">IF(
A259="","",
C259*0.95)</f>
        <v>227397.54135000001</v>
      </c>
      <c r="F259" s="18">
        <v>1</v>
      </c>
      <c r="G259" s="23" t="s">
        <v>469</v>
      </c>
      <c r="H259" s="22" t="s">
        <v>1058</v>
      </c>
      <c r="I259" s="22" t="s">
        <v>1065</v>
      </c>
      <c r="J259" s="22" t="s">
        <v>1249</v>
      </c>
      <c r="K259" s="11" t="s">
        <v>1467</v>
      </c>
      <c r="M259" s="17">
        <f>IFERROR(
IF(
$A259="","",
(VLOOKUP($G259,'nuevos productoss'!$A:$E,4,0))
),$C259)</f>
        <v>228102.33600000001</v>
      </c>
      <c r="N259" s="17">
        <f>IFERROR(
IF(
$A259="","",
(VLOOKUP($G259,'nuevos productoss'!$A:$E,5,0))
),$C259)</f>
        <v>193307.092</v>
      </c>
      <c r="O259" s="17">
        <f t="shared" ref="O259:O322" si="14">IFERROR(M259-N259,0)</f>
        <v>34795.244000000006</v>
      </c>
    </row>
    <row r="260" spans="1:15" x14ac:dyDescent="0.3">
      <c r="A260" s="5" t="s">
        <v>470</v>
      </c>
      <c r="B260" s="20">
        <v>360</v>
      </c>
      <c r="C260" s="21">
        <v>307336.57500000001</v>
      </c>
      <c r="D260" s="18">
        <f t="shared" si="12"/>
        <v>307336.57500000001</v>
      </c>
      <c r="E260" s="21">
        <f t="shared" si="13"/>
        <v>291969.74625000003</v>
      </c>
      <c r="F260" s="18">
        <v>1</v>
      </c>
      <c r="G260" s="23" t="s">
        <v>471</v>
      </c>
      <c r="H260" s="22" t="s">
        <v>1058</v>
      </c>
      <c r="I260" s="22" t="s">
        <v>1065</v>
      </c>
      <c r="J260" s="22" t="s">
        <v>1250</v>
      </c>
      <c r="K260" s="11" t="s">
        <v>1467</v>
      </c>
      <c r="M260" s="17">
        <f>IFERROR(
IF(
$A260="","",
(VLOOKUP($G260,'nuevos productoss'!$A:$E,4,0))
),$C260)</f>
        <v>285570.73599999998</v>
      </c>
      <c r="N260" s="17">
        <f>IFERROR(
IF(
$A260="","",
(VLOOKUP($G260,'nuevos productoss'!$A:$E,5,0))
),$C260)</f>
        <v>242009.15599999999</v>
      </c>
      <c r="O260" s="17">
        <f t="shared" si="14"/>
        <v>43561.579999999987</v>
      </c>
    </row>
    <row r="261" spans="1:15" x14ac:dyDescent="0.3">
      <c r="A261" s="5" t="s">
        <v>472</v>
      </c>
      <c r="B261" s="20">
        <v>360</v>
      </c>
      <c r="C261" s="21">
        <v>466330.74599999998</v>
      </c>
      <c r="D261" s="18">
        <f t="shared" si="12"/>
        <v>466330.74599999998</v>
      </c>
      <c r="E261" s="21">
        <f t="shared" si="13"/>
        <v>443014.20869999996</v>
      </c>
      <c r="F261" s="18">
        <v>1</v>
      </c>
      <c r="G261" s="23" t="s">
        <v>473</v>
      </c>
      <c r="H261" s="22" t="s">
        <v>1058</v>
      </c>
      <c r="I261" s="22" t="s">
        <v>1065</v>
      </c>
      <c r="J261" s="22" t="s">
        <v>1251</v>
      </c>
      <c r="K261" s="11" t="s">
        <v>1467</v>
      </c>
      <c r="M261" s="17">
        <f>IFERROR(
IF(
$A261="","",
(VLOOKUP($G261,'nuevos productoss'!$A:$E,4,0))
),$C261)</f>
        <v>457924.58</v>
      </c>
      <c r="N261" s="17">
        <f>IFERROR(
IF(
$A261="","",
(VLOOKUP($G261,'nuevos productoss'!$A:$E,5,0))
),$C261)</f>
        <v>388071.68800000002</v>
      </c>
      <c r="O261" s="17">
        <f t="shared" si="14"/>
        <v>69852.891999999993</v>
      </c>
    </row>
    <row r="262" spans="1:15" x14ac:dyDescent="0.3">
      <c r="A262" s="5" t="s">
        <v>474</v>
      </c>
      <c r="B262" s="20">
        <v>360</v>
      </c>
      <c r="C262" s="21">
        <v>535023.84600000002</v>
      </c>
      <c r="D262" s="18">
        <f t="shared" si="12"/>
        <v>535023.84600000002</v>
      </c>
      <c r="E262" s="21">
        <f t="shared" si="13"/>
        <v>508272.65369999997</v>
      </c>
      <c r="F262" s="18">
        <v>1</v>
      </c>
      <c r="G262" s="23" t="s">
        <v>475</v>
      </c>
      <c r="H262" s="22" t="s">
        <v>1058</v>
      </c>
      <c r="I262" s="22" t="s">
        <v>1065</v>
      </c>
      <c r="J262" s="22" t="s">
        <v>1252</v>
      </c>
      <c r="K262" s="11" t="s">
        <v>1467</v>
      </c>
      <c r="M262" s="17">
        <f>IFERROR(
IF(
$A262="","",
(VLOOKUP($G262,'nuevos productoss'!$A:$E,4,0))
),$C262)</f>
        <v>525196.79599999997</v>
      </c>
      <c r="N262" s="17">
        <f>IFERROR(
IF(
$A262="","",
(VLOOKUP($G262,'nuevos productoss'!$A:$E,5,0))
),$C262)</f>
        <v>445082.02799999999</v>
      </c>
      <c r="O262" s="17">
        <f t="shared" si="14"/>
        <v>80114.767999999982</v>
      </c>
    </row>
    <row r="263" spans="1:15" x14ac:dyDescent="0.3">
      <c r="A263" s="5" t="s">
        <v>476</v>
      </c>
      <c r="B263" s="20">
        <v>15</v>
      </c>
      <c r="C263" s="21">
        <v>2562.357</v>
      </c>
      <c r="D263" s="18">
        <f t="shared" si="12"/>
        <v>2562.357</v>
      </c>
      <c r="E263" s="21">
        <f t="shared" si="13"/>
        <v>2434.2391499999999</v>
      </c>
      <c r="F263" s="18">
        <v>1</v>
      </c>
      <c r="G263" s="23" t="s">
        <v>477</v>
      </c>
      <c r="H263" s="22" t="s">
        <v>1055</v>
      </c>
      <c r="I263" s="22" t="s">
        <v>1057</v>
      </c>
      <c r="J263" s="22" t="s">
        <v>1253</v>
      </c>
      <c r="K263" s="11" t="s">
        <v>1467</v>
      </c>
      <c r="M263" s="17">
        <f>IFERROR(
IF(
$A263="","",
(VLOOKUP($G263,'nuevos productoss'!$A:$E,4,0))
),$C263)</f>
        <v>2515.4079999999999</v>
      </c>
      <c r="N263" s="17">
        <f>IFERROR(
IF(
$A263="","",
(VLOOKUP($G263,'nuevos productoss'!$A:$E,5,0))
),$C263)</f>
        <v>2131.7919999999999</v>
      </c>
      <c r="O263" s="17">
        <f t="shared" si="14"/>
        <v>383.61599999999999</v>
      </c>
    </row>
    <row r="264" spans="1:15" x14ac:dyDescent="0.3">
      <c r="A264" s="5" t="s">
        <v>478</v>
      </c>
      <c r="B264" s="20">
        <v>15</v>
      </c>
      <c r="C264" s="21">
        <v>14164.332</v>
      </c>
      <c r="D264" s="18">
        <f t="shared" si="12"/>
        <v>14164.332</v>
      </c>
      <c r="E264" s="21">
        <f t="shared" si="13"/>
        <v>13456.115400000001</v>
      </c>
      <c r="F264" s="18">
        <v>1</v>
      </c>
      <c r="G264" s="23" t="s">
        <v>479</v>
      </c>
      <c r="H264" s="22" t="s">
        <v>1055</v>
      </c>
      <c r="I264" s="22" t="s">
        <v>1057</v>
      </c>
      <c r="J264" s="22" t="s">
        <v>1254</v>
      </c>
      <c r="K264" s="11" t="s">
        <v>1467</v>
      </c>
      <c r="M264" s="17">
        <f>IFERROR(
IF(
$A264="","",
(VLOOKUP($G264,'nuevos productoss'!$A:$E,4,0))
),$C264)</f>
        <v>13905.191999999999</v>
      </c>
      <c r="N264" s="17">
        <f>IFERROR(
IF(
$A264="","",
(VLOOKUP($G264,'nuevos productoss'!$A:$E,5,0))
),$C264)</f>
        <v>11784.056</v>
      </c>
      <c r="O264" s="17">
        <f t="shared" si="14"/>
        <v>2121.1359999999986</v>
      </c>
    </row>
    <row r="265" spans="1:15" x14ac:dyDescent="0.3">
      <c r="A265" s="5" t="s">
        <v>480</v>
      </c>
      <c r="B265" s="20">
        <v>180</v>
      </c>
      <c r="C265" s="21">
        <v>35735.993999999999</v>
      </c>
      <c r="D265" s="18">
        <f t="shared" si="12"/>
        <v>35735.993999999999</v>
      </c>
      <c r="E265" s="21">
        <f t="shared" si="13"/>
        <v>33949.194299999996</v>
      </c>
      <c r="F265" s="18">
        <v>1</v>
      </c>
      <c r="G265" s="23" t="s">
        <v>481</v>
      </c>
      <c r="H265" s="22" t="s">
        <v>1055</v>
      </c>
      <c r="I265" s="22" t="s">
        <v>1057</v>
      </c>
      <c r="J265" s="22" t="s">
        <v>1255</v>
      </c>
      <c r="K265" s="11" t="s">
        <v>1467</v>
      </c>
      <c r="M265" s="17">
        <f>IFERROR(
IF(
$A265="","",
(VLOOKUP($G265,'nuevos productoss'!$A:$E,4,0))
),$C265)</f>
        <v>35735.993999999999</v>
      </c>
      <c r="N265" s="17">
        <f>IFERROR(
IF(
$A265="","",
(VLOOKUP($G265,'nuevos productoss'!$A:$E,5,0))
),$C265)</f>
        <v>35735.993999999999</v>
      </c>
      <c r="O265" s="17">
        <f t="shared" si="14"/>
        <v>0</v>
      </c>
    </row>
    <row r="266" spans="1:15" x14ac:dyDescent="0.3">
      <c r="A266" s="5" t="s">
        <v>482</v>
      </c>
      <c r="B266" s="20">
        <v>0</v>
      </c>
      <c r="C266" s="21">
        <v>34069.896000000001</v>
      </c>
      <c r="D266" s="18">
        <f t="shared" si="12"/>
        <v>34069.896000000001</v>
      </c>
      <c r="E266" s="21">
        <f t="shared" si="13"/>
        <v>32366.4012</v>
      </c>
      <c r="F266" s="18">
        <v>1</v>
      </c>
      <c r="G266" s="23" t="s">
        <v>483</v>
      </c>
      <c r="H266" s="22" t="s">
        <v>1053</v>
      </c>
      <c r="I266" s="22" t="s">
        <v>1054</v>
      </c>
      <c r="J266" s="22" t="s">
        <v>1256</v>
      </c>
      <c r="K266" s="11" t="s">
        <v>1467</v>
      </c>
      <c r="M266" s="17">
        <f>IFERROR(
IF(
$A266="","",
(VLOOKUP($G266,'nuevos productoss'!$A:$E,4,0))
),$C266)</f>
        <v>33448.887999999999</v>
      </c>
      <c r="N266" s="17">
        <f>IFERROR(
IF(
$A266="","",
(VLOOKUP($G266,'nuevos productoss'!$A:$E,5,0))
),$C266)</f>
        <v>28346.44</v>
      </c>
      <c r="O266" s="17">
        <f t="shared" si="14"/>
        <v>5102.4480000000003</v>
      </c>
    </row>
    <row r="267" spans="1:15" x14ac:dyDescent="0.3">
      <c r="A267" s="5" t="s">
        <v>484</v>
      </c>
      <c r="B267" s="20">
        <v>30</v>
      </c>
      <c r="C267" s="21">
        <v>84458.85</v>
      </c>
      <c r="D267" s="18">
        <f t="shared" si="12"/>
        <v>84458.85</v>
      </c>
      <c r="E267" s="21">
        <f t="shared" si="13"/>
        <v>80235.907500000001</v>
      </c>
      <c r="F267" s="18">
        <v>1</v>
      </c>
      <c r="G267" s="23" t="s">
        <v>485</v>
      </c>
      <c r="H267" s="22" t="s">
        <v>1033</v>
      </c>
      <c r="I267" s="22" t="s">
        <v>1038</v>
      </c>
      <c r="J267" s="22" t="s">
        <v>1257</v>
      </c>
      <c r="K267" s="11" t="s">
        <v>1467</v>
      </c>
      <c r="M267" s="17">
        <f>IFERROR(
IF(
$A267="","",
(VLOOKUP($G267,'nuevos productoss'!$A:$E,4,0))
),$C267)</f>
        <v>82907.676000000007</v>
      </c>
      <c r="N267" s="17">
        <f>IFERROR(
IF(
$A267="","",
(VLOOKUP($G267,'nuevos productoss'!$A:$E,5,0))
),$C267)</f>
        <v>70260.78</v>
      </c>
      <c r="O267" s="17">
        <f t="shared" si="14"/>
        <v>12646.896000000008</v>
      </c>
    </row>
    <row r="268" spans="1:15" x14ac:dyDescent="0.3">
      <c r="A268" s="5" t="s">
        <v>486</v>
      </c>
      <c r="B268" s="20">
        <v>360</v>
      </c>
      <c r="C268" s="21">
        <v>105443.247</v>
      </c>
      <c r="D268" s="18">
        <f t="shared" si="12"/>
        <v>105443.247</v>
      </c>
      <c r="E268" s="21">
        <f t="shared" si="13"/>
        <v>100171.08465</v>
      </c>
      <c r="F268" s="18">
        <v>1</v>
      </c>
      <c r="G268" s="23" t="s">
        <v>487</v>
      </c>
      <c r="H268" s="22" t="s">
        <v>1033</v>
      </c>
      <c r="I268" s="22" t="s">
        <v>1038</v>
      </c>
      <c r="J268" s="22" t="s">
        <v>1258</v>
      </c>
      <c r="K268" s="11" t="s">
        <v>1467</v>
      </c>
      <c r="M268" s="17">
        <f>IFERROR(
IF(
$A268="","",
(VLOOKUP($G268,'nuevos productoss'!$A:$E,4,0))
),$C268)</f>
        <v>100421.848</v>
      </c>
      <c r="N268" s="17">
        <f>IFERROR(
IF(
$A268="","",
(VLOOKUP($G268,'nuevos productoss'!$A:$E,5,0))
),$C268)</f>
        <v>85103.255999999994</v>
      </c>
      <c r="O268" s="17">
        <f t="shared" si="14"/>
        <v>15318.592000000004</v>
      </c>
    </row>
    <row r="269" spans="1:15" x14ac:dyDescent="0.3">
      <c r="A269" s="5" t="s">
        <v>488</v>
      </c>
      <c r="B269" s="20">
        <v>1080</v>
      </c>
      <c r="C269" s="21">
        <v>112585.683</v>
      </c>
      <c r="D269" s="18">
        <f t="shared" si="12"/>
        <v>112585.683</v>
      </c>
      <c r="E269" s="21">
        <f t="shared" si="13"/>
        <v>106956.39885</v>
      </c>
      <c r="F269" s="18">
        <v>1</v>
      </c>
      <c r="G269" s="23" t="s">
        <v>489</v>
      </c>
      <c r="H269" s="22" t="s">
        <v>1033</v>
      </c>
      <c r="I269" s="22" t="s">
        <v>1038</v>
      </c>
      <c r="J269" s="22" t="s">
        <v>1259</v>
      </c>
      <c r="K269" s="11" t="s">
        <v>1467</v>
      </c>
      <c r="M269" s="17">
        <f>IFERROR(
IF(
$A269="","",
(VLOOKUP($G269,'nuevos productoss'!$A:$E,4,0))
),$C269)</f>
        <v>116448.62</v>
      </c>
      <c r="N269" s="17">
        <f>IFERROR(
IF(
$A269="","",
(VLOOKUP($G269,'nuevos productoss'!$A:$E,5,0))
),$C269)</f>
        <v>98685.216</v>
      </c>
      <c r="O269" s="17">
        <f t="shared" si="14"/>
        <v>17763.403999999995</v>
      </c>
    </row>
    <row r="270" spans="1:15" x14ac:dyDescent="0.3">
      <c r="A270" s="5" t="s">
        <v>490</v>
      </c>
      <c r="B270" s="20">
        <v>1080</v>
      </c>
      <c r="C270" s="21">
        <v>112471.17</v>
      </c>
      <c r="D270" s="18">
        <f t="shared" si="12"/>
        <v>112471.17</v>
      </c>
      <c r="E270" s="21">
        <f t="shared" si="13"/>
        <v>106847.6115</v>
      </c>
      <c r="F270" s="18">
        <v>1</v>
      </c>
      <c r="G270" s="23" t="s">
        <v>491</v>
      </c>
      <c r="H270" s="22" t="s">
        <v>1033</v>
      </c>
      <c r="I270" s="22" t="s">
        <v>1038</v>
      </c>
      <c r="J270" s="22" t="s">
        <v>1260</v>
      </c>
      <c r="K270" s="11" t="s">
        <v>1467</v>
      </c>
      <c r="M270" s="17">
        <f>IFERROR(
IF(
$A270="","",
(VLOOKUP($G270,'nuevos productoss'!$A:$E,4,0))
),$C270)</f>
        <v>107132.76</v>
      </c>
      <c r="N270" s="17">
        <f>IFERROR(
IF(
$A270="","",
(VLOOKUP($G270,'nuevos productoss'!$A:$E,5,0))
),$C270)</f>
        <v>90790.452000000005</v>
      </c>
      <c r="O270" s="17">
        <f t="shared" si="14"/>
        <v>16342.30799999999</v>
      </c>
    </row>
    <row r="271" spans="1:15" x14ac:dyDescent="0.3">
      <c r="A271" s="5" t="s">
        <v>492</v>
      </c>
      <c r="B271" s="20">
        <v>360</v>
      </c>
      <c r="C271" s="21">
        <v>151596.69</v>
      </c>
      <c r="D271" s="18">
        <f t="shared" si="12"/>
        <v>151596.69</v>
      </c>
      <c r="E271" s="21">
        <f t="shared" si="13"/>
        <v>144016.85550000001</v>
      </c>
      <c r="F271" s="18">
        <v>1</v>
      </c>
      <c r="G271" s="23" t="s">
        <v>493</v>
      </c>
      <c r="H271" s="22" t="s">
        <v>1033</v>
      </c>
      <c r="I271" s="22" t="s">
        <v>1038</v>
      </c>
      <c r="J271" s="22" t="s">
        <v>1261</v>
      </c>
      <c r="K271" s="11" t="s">
        <v>1467</v>
      </c>
      <c r="M271" s="17">
        <f>IFERROR(
IF(
$A271="","",
(VLOOKUP($G271,'nuevos productoss'!$A:$E,4,0))
),$C271)</f>
        <v>148812.372</v>
      </c>
      <c r="N271" s="17">
        <f>IFERROR(
IF(
$A271="","",
(VLOOKUP($G271,'nuevos productoss'!$A:$E,5,0))
),$C271)</f>
        <v>126112.132</v>
      </c>
      <c r="O271" s="17">
        <f t="shared" si="14"/>
        <v>22700.240000000005</v>
      </c>
    </row>
    <row r="272" spans="1:15" x14ac:dyDescent="0.3">
      <c r="A272" s="5" t="s">
        <v>494</v>
      </c>
      <c r="B272" s="20">
        <v>1080</v>
      </c>
      <c r="C272" s="21">
        <v>171744.36300000001</v>
      </c>
      <c r="D272" s="18">
        <f t="shared" si="12"/>
        <v>171744.36300000001</v>
      </c>
      <c r="E272" s="21">
        <f t="shared" si="13"/>
        <v>163157.14485000001</v>
      </c>
      <c r="F272" s="18">
        <v>1</v>
      </c>
      <c r="G272" s="23" t="s">
        <v>495</v>
      </c>
      <c r="H272" s="22" t="s">
        <v>1033</v>
      </c>
      <c r="I272" s="22" t="s">
        <v>1038</v>
      </c>
      <c r="J272" s="22" t="s">
        <v>1262</v>
      </c>
      <c r="K272" s="11" t="s">
        <v>1467</v>
      </c>
      <c r="M272" s="17">
        <f>IFERROR(
IF(
$A272="","",
(VLOOKUP($G272,'nuevos productoss'!$A:$E,4,0))
),$C272)</f>
        <v>168577.476</v>
      </c>
      <c r="N272" s="17">
        <f>IFERROR(
IF(
$A272="","",
(VLOOKUP($G272,'nuevos productoss'!$A:$E,5,0))
),$C272)</f>
        <v>142862.32800000001</v>
      </c>
      <c r="O272" s="17">
        <f t="shared" si="14"/>
        <v>25715.147999999986</v>
      </c>
    </row>
    <row r="273" spans="1:15" x14ac:dyDescent="0.3">
      <c r="A273" s="5" t="s">
        <v>496</v>
      </c>
      <c r="B273" s="20">
        <v>1080</v>
      </c>
      <c r="C273" s="21">
        <v>164225.75399999999</v>
      </c>
      <c r="D273" s="18">
        <f t="shared" si="12"/>
        <v>164225.75399999999</v>
      </c>
      <c r="E273" s="21">
        <f t="shared" si="13"/>
        <v>156014.46629999997</v>
      </c>
      <c r="F273" s="18">
        <v>1</v>
      </c>
      <c r="G273" s="23" t="s">
        <v>497</v>
      </c>
      <c r="H273" s="22" t="s">
        <v>1033</v>
      </c>
      <c r="I273" s="22" t="s">
        <v>1038</v>
      </c>
      <c r="J273" s="22" t="s">
        <v>1263</v>
      </c>
      <c r="K273" s="11" t="s">
        <v>1467</v>
      </c>
      <c r="M273" s="17">
        <f>IFERROR(
IF(
$A273="","",
(VLOOKUP($G273,'nuevos productoss'!$A:$E,4,0))
),$C273)</f>
        <v>161209.296</v>
      </c>
      <c r="N273" s="17">
        <f>IFERROR(
IF(
$A273="","",
(VLOOKUP($G273,'nuevos productoss'!$A:$E,5,0))
),$C273)</f>
        <v>136618.06</v>
      </c>
      <c r="O273" s="17">
        <f t="shared" si="14"/>
        <v>24591.236000000004</v>
      </c>
    </row>
    <row r="274" spans="1:15" x14ac:dyDescent="0.3">
      <c r="A274" s="5" t="s">
        <v>498</v>
      </c>
      <c r="B274" s="20">
        <v>720</v>
      </c>
      <c r="C274" s="21">
        <v>120846.64200000001</v>
      </c>
      <c r="D274" s="18">
        <f t="shared" si="12"/>
        <v>120846.64200000001</v>
      </c>
      <c r="E274" s="21">
        <f t="shared" si="13"/>
        <v>114804.30990000001</v>
      </c>
      <c r="F274" s="18">
        <v>1</v>
      </c>
      <c r="G274" s="23" t="s">
        <v>499</v>
      </c>
      <c r="H274" s="22" t="s">
        <v>1033</v>
      </c>
      <c r="I274" s="22" t="s">
        <v>1037</v>
      </c>
      <c r="J274" s="22" t="s">
        <v>1264</v>
      </c>
      <c r="K274" s="11" t="s">
        <v>1467</v>
      </c>
      <c r="M274" s="17">
        <f>IFERROR(
IF(
$A274="","",
(VLOOKUP($G274,'nuevos productoss'!$A:$E,4,0))
),$C274)</f>
        <v>118627.03200000001</v>
      </c>
      <c r="N274" s="17">
        <f>IFERROR(
IF(
$A274="","",
(VLOOKUP($G274,'nuevos productoss'!$A:$E,5,0))
),$C274)</f>
        <v>100531.368</v>
      </c>
      <c r="O274" s="17">
        <f t="shared" si="14"/>
        <v>18095.664000000004</v>
      </c>
    </row>
    <row r="275" spans="1:15" x14ac:dyDescent="0.3">
      <c r="A275" s="5" t="s">
        <v>500</v>
      </c>
      <c r="B275" s="20">
        <v>1080</v>
      </c>
      <c r="C275" s="21">
        <v>121996.182</v>
      </c>
      <c r="D275" s="18">
        <f t="shared" si="12"/>
        <v>121996.182</v>
      </c>
      <c r="E275" s="21">
        <f t="shared" si="13"/>
        <v>115896.3729</v>
      </c>
      <c r="F275" s="18">
        <v>1</v>
      </c>
      <c r="G275" s="23" t="s">
        <v>501</v>
      </c>
      <c r="H275" s="22" t="s">
        <v>1033</v>
      </c>
      <c r="I275" s="22" t="s">
        <v>1037</v>
      </c>
      <c r="J275" s="22" t="s">
        <v>1265</v>
      </c>
      <c r="K275" s="11" t="s">
        <v>1467</v>
      </c>
      <c r="M275" s="17">
        <f>IFERROR(
IF(
$A275="","",
(VLOOKUP($G275,'nuevos productoss'!$A:$E,4,0))
),$C275)</f>
        <v>121015.16</v>
      </c>
      <c r="N275" s="17">
        <f>IFERROR(
IF(
$A275="","",
(VLOOKUP($G275,'nuevos productoss'!$A:$E,5,0))
),$C275)</f>
        <v>102555.268</v>
      </c>
      <c r="O275" s="17">
        <f t="shared" si="14"/>
        <v>18459.892000000007</v>
      </c>
    </row>
    <row r="276" spans="1:15" x14ac:dyDescent="0.3">
      <c r="A276" s="5" t="s">
        <v>502</v>
      </c>
      <c r="B276" s="20">
        <v>1080</v>
      </c>
      <c r="C276" s="21">
        <v>133726.63500000001</v>
      </c>
      <c r="D276" s="18">
        <f t="shared" si="12"/>
        <v>133726.63500000001</v>
      </c>
      <c r="E276" s="21">
        <f t="shared" si="13"/>
        <v>127040.30325</v>
      </c>
      <c r="F276" s="18">
        <v>1</v>
      </c>
      <c r="G276" s="23" t="s">
        <v>503</v>
      </c>
      <c r="H276" s="22" t="s">
        <v>1033</v>
      </c>
      <c r="I276" s="22" t="s">
        <v>1037</v>
      </c>
      <c r="J276" s="22" t="s">
        <v>1266</v>
      </c>
      <c r="K276" s="11" t="s">
        <v>1467</v>
      </c>
      <c r="M276" s="17">
        <f>IFERROR(
IF(
$A276="","",
(VLOOKUP($G276,'nuevos productoss'!$A:$E,4,0))
),$C276)</f>
        <v>133726.63500000001</v>
      </c>
      <c r="N276" s="17">
        <f>IFERROR(
IF(
$A276="","",
(VLOOKUP($G276,'nuevos productoss'!$A:$E,5,0))
),$C276)</f>
        <v>133726.63500000001</v>
      </c>
      <c r="O276" s="17">
        <f t="shared" si="14"/>
        <v>0</v>
      </c>
    </row>
    <row r="277" spans="1:15" x14ac:dyDescent="0.3">
      <c r="A277" s="5" t="s">
        <v>504</v>
      </c>
      <c r="B277" s="20">
        <v>1080</v>
      </c>
      <c r="C277" s="21">
        <v>138863.84400000001</v>
      </c>
      <c r="D277" s="18">
        <f t="shared" si="12"/>
        <v>138863.84400000001</v>
      </c>
      <c r="E277" s="21">
        <f t="shared" si="13"/>
        <v>131920.65179999999</v>
      </c>
      <c r="F277" s="18">
        <v>1</v>
      </c>
      <c r="G277" s="23" t="s">
        <v>505</v>
      </c>
      <c r="H277" s="22" t="s">
        <v>1033</v>
      </c>
      <c r="I277" s="22" t="s">
        <v>1037</v>
      </c>
      <c r="J277" s="22">
        <v>0</v>
      </c>
      <c r="K277" s="11" t="s">
        <v>1467</v>
      </c>
      <c r="M277" s="17">
        <f>IFERROR(
IF(
$A277="","",
(VLOOKUP($G277,'nuevos productoss'!$A:$E,4,0))
),$C277)</f>
        <v>138863.84400000001</v>
      </c>
      <c r="N277" s="17">
        <f>IFERROR(
IF(
$A277="","",
(VLOOKUP($G277,'nuevos productoss'!$A:$E,5,0))
),$C277)</f>
        <v>138863.84400000001</v>
      </c>
      <c r="O277" s="17">
        <f t="shared" si="14"/>
        <v>0</v>
      </c>
    </row>
    <row r="278" spans="1:15" x14ac:dyDescent="0.3">
      <c r="A278" s="5" t="s">
        <v>506</v>
      </c>
      <c r="B278" s="20">
        <v>1080</v>
      </c>
      <c r="C278" s="21">
        <v>159446.93100000001</v>
      </c>
      <c r="D278" s="18">
        <f t="shared" si="12"/>
        <v>159446.93100000001</v>
      </c>
      <c r="E278" s="21">
        <f t="shared" si="13"/>
        <v>151474.58444999999</v>
      </c>
      <c r="F278" s="18">
        <v>1</v>
      </c>
      <c r="G278" s="23" t="s">
        <v>507</v>
      </c>
      <c r="H278" s="22" t="s">
        <v>1033</v>
      </c>
      <c r="I278" s="22" t="s">
        <v>1037</v>
      </c>
      <c r="J278" s="22" t="s">
        <v>1267</v>
      </c>
      <c r="K278" s="11" t="s">
        <v>1467</v>
      </c>
      <c r="M278" s="17">
        <f>IFERROR(
IF(
$A278="","",
(VLOOKUP($G278,'nuevos productoss'!$A:$E,4,0))
),$C278)</f>
        <v>157205.6</v>
      </c>
      <c r="N278" s="17">
        <f>IFERROR(
IF(
$A278="","",
(VLOOKUP($G278,'nuevos productoss'!$A:$E,5,0))
),$C278)</f>
        <v>133225.16</v>
      </c>
      <c r="O278" s="17">
        <f t="shared" si="14"/>
        <v>23980.440000000002</v>
      </c>
    </row>
    <row r="279" spans="1:15" x14ac:dyDescent="0.3">
      <c r="B279" s="20"/>
      <c r="C279" s="21"/>
      <c r="D279" s="18">
        <f t="shared" si="12"/>
        <v>0</v>
      </c>
      <c r="E279" s="21" t="str">
        <f t="shared" si="13"/>
        <v/>
      </c>
      <c r="F279" s="18"/>
      <c r="G279" s="5"/>
      <c r="H279" s="22" t="s">
        <v>1865</v>
      </c>
      <c r="I279" s="22" t="s">
        <v>1865</v>
      </c>
      <c r="J279" s="22" t="s">
        <v>1865</v>
      </c>
      <c r="K279" s="11" t="s">
        <v>1467</v>
      </c>
      <c r="M279" s="17" t="str">
        <f>IFERROR(
IF(
$A279="","",
(VLOOKUP($G279,'nuevos productoss'!$A:$E,4,0))
),$C279)</f>
        <v/>
      </c>
      <c r="N279" s="17" t="str">
        <f>IFERROR(
IF(
$A279="","",
(VLOOKUP($G279,'nuevos productoss'!$A:$E,5,0))
),$C279)</f>
        <v/>
      </c>
      <c r="O279" s="17">
        <f t="shared" si="14"/>
        <v>0</v>
      </c>
    </row>
    <row r="280" spans="1:15" x14ac:dyDescent="0.3">
      <c r="A280" s="5" t="s">
        <v>508</v>
      </c>
      <c r="B280" s="20">
        <v>180</v>
      </c>
      <c r="C280" s="21">
        <v>45360.231</v>
      </c>
      <c r="D280" s="18">
        <f t="shared" si="12"/>
        <v>45360.231</v>
      </c>
      <c r="E280" s="21">
        <f t="shared" si="13"/>
        <v>43092.219449999997</v>
      </c>
      <c r="F280" s="18">
        <v>1</v>
      </c>
      <c r="G280" s="23" t="s">
        <v>509</v>
      </c>
      <c r="H280" s="22" t="s">
        <v>1033</v>
      </c>
      <c r="I280" s="22" t="s">
        <v>1036</v>
      </c>
      <c r="J280" s="22" t="s">
        <v>1268</v>
      </c>
      <c r="K280" s="11" t="s">
        <v>1467</v>
      </c>
      <c r="M280" s="17">
        <f>IFERROR(
IF(
$A280="","",
(VLOOKUP($G280,'nuevos productoss'!$A:$E,4,0))
),$C280)</f>
        <v>57305.008000000002</v>
      </c>
      <c r="N280" s="17">
        <f>IFERROR(
IF(
$A280="","",
(VLOOKUP($G280,'nuevos productoss'!$A:$E,5,0))
),$C280)</f>
        <v>48563.536</v>
      </c>
      <c r="O280" s="17">
        <f t="shared" si="14"/>
        <v>8741.4720000000016</v>
      </c>
    </row>
    <row r="281" spans="1:15" x14ac:dyDescent="0.3">
      <c r="A281" s="5" t="s">
        <v>510</v>
      </c>
      <c r="B281" s="20">
        <v>180</v>
      </c>
      <c r="C281" s="21">
        <v>78058.47</v>
      </c>
      <c r="D281" s="18">
        <f t="shared" si="12"/>
        <v>78058.47</v>
      </c>
      <c r="E281" s="21">
        <f t="shared" si="13"/>
        <v>74155.546499999997</v>
      </c>
      <c r="F281" s="18">
        <v>1</v>
      </c>
      <c r="G281" s="23" t="s">
        <v>511</v>
      </c>
      <c r="H281" s="22" t="s">
        <v>1033</v>
      </c>
      <c r="I281" s="22" t="s">
        <v>1036</v>
      </c>
      <c r="J281" s="22" t="s">
        <v>1269</v>
      </c>
      <c r="K281" s="11" t="s">
        <v>1467</v>
      </c>
      <c r="M281" s="17">
        <f>IFERROR(
IF(
$A281="","",
(VLOOKUP($G281,'nuevos productoss'!$A:$E,4,0))
),$C281)</f>
        <v>110023.94</v>
      </c>
      <c r="N281" s="17">
        <f>IFERROR(
IF(
$A281="","",
(VLOOKUP($G281,'nuevos productoss'!$A:$E,5,0))
),$C281)</f>
        <v>93240.592000000004</v>
      </c>
      <c r="O281" s="17">
        <f t="shared" si="14"/>
        <v>16783.347999999998</v>
      </c>
    </row>
    <row r="282" spans="1:15" x14ac:dyDescent="0.3">
      <c r="A282" s="5" t="s">
        <v>512</v>
      </c>
      <c r="B282" s="20">
        <v>360</v>
      </c>
      <c r="C282" s="21">
        <v>90498.051000000007</v>
      </c>
      <c r="D282" s="18">
        <f t="shared" si="12"/>
        <v>90498.051000000007</v>
      </c>
      <c r="E282" s="21">
        <f t="shared" si="13"/>
        <v>85973.148450000008</v>
      </c>
      <c r="F282" s="18">
        <v>1</v>
      </c>
      <c r="G282" s="23" t="s">
        <v>513</v>
      </c>
      <c r="H282" s="22" t="s">
        <v>1033</v>
      </c>
      <c r="I282" s="22" t="s">
        <v>1036</v>
      </c>
      <c r="J282" s="22">
        <v>0</v>
      </c>
      <c r="K282" s="11" t="s">
        <v>1467</v>
      </c>
      <c r="M282" s="17">
        <f>IFERROR(
IF(
$A282="","",
(VLOOKUP($G282,'nuevos productoss'!$A:$E,4,0))
),$C282)</f>
        <v>128359.364</v>
      </c>
      <c r="N282" s="17">
        <f>IFERROR(
IF(
$A282="","",
(VLOOKUP($G282,'nuevos productoss'!$A:$E,5,0))
),$C282)</f>
        <v>108779.11199999999</v>
      </c>
      <c r="O282" s="17">
        <f t="shared" si="14"/>
        <v>19580.252000000008</v>
      </c>
    </row>
    <row r="283" spans="1:15" x14ac:dyDescent="0.3">
      <c r="A283" s="5" t="s">
        <v>514</v>
      </c>
      <c r="B283" s="20">
        <v>180</v>
      </c>
      <c r="C283" s="21">
        <v>153427.42800000001</v>
      </c>
      <c r="D283" s="18">
        <f t="shared" si="12"/>
        <v>153427.42800000001</v>
      </c>
      <c r="E283" s="21">
        <f t="shared" si="13"/>
        <v>145756.05660000001</v>
      </c>
      <c r="F283" s="18">
        <v>1</v>
      </c>
      <c r="G283" s="23" t="s">
        <v>515</v>
      </c>
      <c r="H283" s="22" t="s">
        <v>1033</v>
      </c>
      <c r="I283" s="22" t="s">
        <v>1036</v>
      </c>
      <c r="J283" s="22" t="s">
        <v>1270</v>
      </c>
      <c r="K283" s="11" t="s">
        <v>1467</v>
      </c>
      <c r="M283" s="17">
        <f>IFERROR(
IF(
$A283="","",
(VLOOKUP($G283,'nuevos productoss'!$A:$E,4,0))
),$C283)</f>
        <v>212247.54</v>
      </c>
      <c r="N283" s="17">
        <f>IFERROR(
IF(
$A283="","",
(VLOOKUP($G283,'nuevos productoss'!$A:$E,5,0))
),$C283)</f>
        <v>179870.764</v>
      </c>
      <c r="O283" s="17">
        <f t="shared" si="14"/>
        <v>32376.776000000013</v>
      </c>
    </row>
    <row r="284" spans="1:15" x14ac:dyDescent="0.3">
      <c r="A284" s="5" t="s">
        <v>516</v>
      </c>
      <c r="B284" s="20">
        <v>180</v>
      </c>
      <c r="C284" s="21">
        <v>155278.30499999999</v>
      </c>
      <c r="D284" s="18">
        <f t="shared" si="12"/>
        <v>155278.30499999999</v>
      </c>
      <c r="E284" s="21">
        <f t="shared" si="13"/>
        <v>147514.38974999997</v>
      </c>
      <c r="F284" s="18">
        <v>1</v>
      </c>
      <c r="G284" s="23" t="s">
        <v>517</v>
      </c>
      <c r="H284" s="22" t="s">
        <v>1033</v>
      </c>
      <c r="I284" s="22" t="s">
        <v>1036</v>
      </c>
      <c r="J284" s="22" t="s">
        <v>1271</v>
      </c>
      <c r="K284" s="11" t="s">
        <v>1467</v>
      </c>
      <c r="M284" s="17">
        <f>IFERROR(
IF(
$A284="","",
(VLOOKUP($G284,'nuevos productoss'!$A:$E,4,0))
),$C284)</f>
        <v>155278.30499999999</v>
      </c>
      <c r="N284" s="17">
        <f>IFERROR(
IF(
$A284="","",
(VLOOKUP($G284,'nuevos productoss'!$A:$E,5,0))
),$C284)</f>
        <v>155278.30499999999</v>
      </c>
      <c r="O284" s="17">
        <f t="shared" si="14"/>
        <v>0</v>
      </c>
    </row>
    <row r="285" spans="1:15" x14ac:dyDescent="0.3">
      <c r="A285" s="5" t="s">
        <v>518</v>
      </c>
      <c r="B285" s="20">
        <v>360</v>
      </c>
      <c r="C285" s="21">
        <v>95720.078999999998</v>
      </c>
      <c r="D285" s="18">
        <f t="shared" si="12"/>
        <v>95720.078999999998</v>
      </c>
      <c r="E285" s="21">
        <f t="shared" si="13"/>
        <v>90934.075049999999</v>
      </c>
      <c r="F285" s="18">
        <v>1</v>
      </c>
      <c r="G285" s="23" t="s">
        <v>519</v>
      </c>
      <c r="H285" s="22" t="s">
        <v>1033</v>
      </c>
      <c r="I285" s="22" t="s">
        <v>1036</v>
      </c>
      <c r="J285" s="22" t="s">
        <v>1272</v>
      </c>
      <c r="K285" s="11" t="s">
        <v>1467</v>
      </c>
      <c r="M285" s="17">
        <f>IFERROR(
IF(
$A285="","",
(VLOOKUP($G285,'nuevos productoss'!$A:$E,4,0))
),$C285)</f>
        <v>129197.784</v>
      </c>
      <c r="N285" s="17">
        <f>IFERROR(
IF(
$A285="","",
(VLOOKUP($G285,'nuevos productoss'!$A:$E,5,0))
),$C285)</f>
        <v>109489.66</v>
      </c>
      <c r="O285" s="17">
        <f t="shared" si="14"/>
        <v>19708.123999999996</v>
      </c>
    </row>
    <row r="286" spans="1:15" x14ac:dyDescent="0.3">
      <c r="A286" s="5" t="s">
        <v>520</v>
      </c>
      <c r="B286" s="20">
        <v>180</v>
      </c>
      <c r="C286" s="21">
        <v>203440.65</v>
      </c>
      <c r="D286" s="18">
        <f t="shared" si="12"/>
        <v>203440.65</v>
      </c>
      <c r="E286" s="21">
        <f t="shared" si="13"/>
        <v>193268.61749999999</v>
      </c>
      <c r="F286" s="18">
        <v>1</v>
      </c>
      <c r="G286" s="23" t="s">
        <v>521</v>
      </c>
      <c r="H286" s="22" t="s">
        <v>1033</v>
      </c>
      <c r="I286" s="22" t="s">
        <v>1036</v>
      </c>
      <c r="J286" s="22">
        <v>0</v>
      </c>
      <c r="K286" s="11" t="s">
        <v>1467</v>
      </c>
      <c r="M286" s="17">
        <f>IFERROR(
IF(
$A286="","",
(VLOOKUP($G286,'nuevos productoss'!$A:$E,4,0))
),$C286)</f>
        <v>203440.65</v>
      </c>
      <c r="N286" s="17">
        <f>IFERROR(
IF(
$A286="","",
(VLOOKUP($G286,'nuevos productoss'!$A:$E,5,0))
),$C286)</f>
        <v>203440.65</v>
      </c>
      <c r="O286" s="17">
        <f t="shared" si="14"/>
        <v>0</v>
      </c>
    </row>
    <row r="287" spans="1:15" x14ac:dyDescent="0.3">
      <c r="A287" s="5" t="s">
        <v>522</v>
      </c>
      <c r="B287" s="20">
        <v>180</v>
      </c>
      <c r="C287" s="21">
        <v>302541.87599999999</v>
      </c>
      <c r="D287" s="18">
        <f t="shared" si="12"/>
        <v>302541.87599999999</v>
      </c>
      <c r="E287" s="21">
        <f t="shared" si="13"/>
        <v>287414.78219999996</v>
      </c>
      <c r="F287" s="18">
        <v>1</v>
      </c>
      <c r="G287" s="23" t="s">
        <v>521</v>
      </c>
      <c r="H287" s="22" t="s">
        <v>1033</v>
      </c>
      <c r="I287" s="22" t="s">
        <v>1036</v>
      </c>
      <c r="J287" s="22">
        <v>0</v>
      </c>
      <c r="K287" s="11" t="s">
        <v>1467</v>
      </c>
      <c r="M287" s="17">
        <f>IFERROR(
IF(
$A287="","",
(VLOOKUP($G287,'nuevos productoss'!$A:$E,4,0))
),$C287)</f>
        <v>302541.87599999999</v>
      </c>
      <c r="N287" s="17">
        <f>IFERROR(
IF(
$A287="","",
(VLOOKUP($G287,'nuevos productoss'!$A:$E,5,0))
),$C287)</f>
        <v>302541.87599999999</v>
      </c>
      <c r="O287" s="17">
        <f t="shared" si="14"/>
        <v>0</v>
      </c>
    </row>
    <row r="288" spans="1:15" x14ac:dyDescent="0.3">
      <c r="A288" s="5" t="s">
        <v>523</v>
      </c>
      <c r="B288" s="20">
        <v>180</v>
      </c>
      <c r="C288" s="21">
        <v>392452.51500000001</v>
      </c>
      <c r="D288" s="18">
        <f t="shared" si="12"/>
        <v>392452.51500000001</v>
      </c>
      <c r="E288" s="21">
        <f t="shared" si="13"/>
        <v>372829.88925000001</v>
      </c>
      <c r="F288" s="18">
        <v>1</v>
      </c>
      <c r="G288" s="23" t="s">
        <v>524</v>
      </c>
      <c r="H288" s="22" t="s">
        <v>1033</v>
      </c>
      <c r="I288" s="22" t="s">
        <v>1036</v>
      </c>
      <c r="J288" s="22" t="s">
        <v>1274</v>
      </c>
      <c r="K288" s="11" t="s">
        <v>1467</v>
      </c>
      <c r="M288" s="17">
        <f>IFERROR(
IF(
$A288="","",
(VLOOKUP($G288,'nuevos productoss'!$A:$E,4,0))
),$C288)</f>
        <v>392452.51500000001</v>
      </c>
      <c r="N288" s="17">
        <f>IFERROR(
IF(
$A288="","",
(VLOOKUP($G288,'nuevos productoss'!$A:$E,5,0))
),$C288)</f>
        <v>392452.51500000001</v>
      </c>
      <c r="O288" s="17">
        <f t="shared" si="14"/>
        <v>0</v>
      </c>
    </row>
    <row r="289" spans="1:15" x14ac:dyDescent="0.3">
      <c r="A289" s="5" t="s">
        <v>525</v>
      </c>
      <c r="B289" s="20">
        <v>180</v>
      </c>
      <c r="C289" s="21">
        <v>205798.236</v>
      </c>
      <c r="D289" s="18">
        <f t="shared" si="12"/>
        <v>205798.236</v>
      </c>
      <c r="E289" s="21">
        <f t="shared" si="13"/>
        <v>195508.3242</v>
      </c>
      <c r="F289" s="18">
        <v>1</v>
      </c>
      <c r="G289" s="23" t="s">
        <v>526</v>
      </c>
      <c r="H289" s="22" t="s">
        <v>1033</v>
      </c>
      <c r="I289" s="22" t="s">
        <v>1036</v>
      </c>
      <c r="J289" s="22" t="s">
        <v>1275</v>
      </c>
      <c r="K289" s="11" t="s">
        <v>1467</v>
      </c>
      <c r="M289" s="17">
        <f>IFERROR(
IF(
$A289="","",
(VLOOKUP($G289,'nuevos productoss'!$A:$E,4,0))
),$C289)</f>
        <v>328866.95199999999</v>
      </c>
      <c r="N289" s="17">
        <f>IFERROR(
IF(
$A289="","",
(VLOOKUP($G289,'nuevos productoss'!$A:$E,5,0))
),$C289)</f>
        <v>278700.87199999997</v>
      </c>
      <c r="O289" s="17">
        <f t="shared" si="14"/>
        <v>50166.080000000016</v>
      </c>
    </row>
    <row r="290" spans="1:15" x14ac:dyDescent="0.3">
      <c r="A290" s="5" t="s">
        <v>527</v>
      </c>
      <c r="B290" s="20">
        <v>180</v>
      </c>
      <c r="C290" s="21">
        <v>406810.446</v>
      </c>
      <c r="D290" s="18">
        <f t="shared" si="12"/>
        <v>406810.446</v>
      </c>
      <c r="E290" s="21">
        <f t="shared" si="13"/>
        <v>386469.92369999998</v>
      </c>
      <c r="F290" s="18">
        <v>1</v>
      </c>
      <c r="G290" s="23" t="s">
        <v>528</v>
      </c>
      <c r="H290" s="22" t="s">
        <v>1033</v>
      </c>
      <c r="I290" s="22" t="s">
        <v>1036</v>
      </c>
      <c r="J290" s="22" t="s">
        <v>1275</v>
      </c>
      <c r="K290" s="11" t="s">
        <v>1467</v>
      </c>
      <c r="M290" s="17">
        <f>IFERROR(
IF(
$A290="","",
(VLOOKUP($G290,'nuevos productoss'!$A:$E,4,0))
),$C290)</f>
        <v>406810.446</v>
      </c>
      <c r="N290" s="17">
        <f>IFERROR(
IF(
$A290="","",
(VLOOKUP($G290,'nuevos productoss'!$A:$E,5,0))
),$C290)</f>
        <v>406810.446</v>
      </c>
      <c r="O290" s="17">
        <f t="shared" si="14"/>
        <v>0</v>
      </c>
    </row>
    <row r="291" spans="1:15" x14ac:dyDescent="0.3">
      <c r="A291" s="5" t="s">
        <v>529</v>
      </c>
      <c r="B291" s="20">
        <v>180</v>
      </c>
      <c r="C291" s="21">
        <v>9694.9439999999995</v>
      </c>
      <c r="D291" s="18">
        <f t="shared" si="12"/>
        <v>9694.9439999999995</v>
      </c>
      <c r="E291" s="21">
        <f t="shared" si="13"/>
        <v>9210.1967999999997</v>
      </c>
      <c r="F291" s="18">
        <v>1</v>
      </c>
      <c r="G291" s="23" t="s">
        <v>530</v>
      </c>
      <c r="H291" s="22" t="s">
        <v>1033</v>
      </c>
      <c r="I291" s="22" t="s">
        <v>1036</v>
      </c>
      <c r="J291" s="22" t="s">
        <v>1276</v>
      </c>
      <c r="K291" s="11" t="s">
        <v>1467</v>
      </c>
      <c r="M291" s="17">
        <f>IFERROR(
IF(
$A291="","",
(VLOOKUP($G291,'nuevos productoss'!$A:$E,4,0))
),$C291)</f>
        <v>9642.94</v>
      </c>
      <c r="N291" s="17">
        <f>IFERROR(
IF(
$A291="","",
(VLOOKUP($G291,'nuevos productoss'!$A:$E,5,0))
),$C291)</f>
        <v>8171.9679999999998</v>
      </c>
      <c r="O291" s="17">
        <f t="shared" si="14"/>
        <v>1470.9720000000007</v>
      </c>
    </row>
    <row r="292" spans="1:15" x14ac:dyDescent="0.3">
      <c r="A292" s="5" t="s">
        <v>531</v>
      </c>
      <c r="B292" s="20">
        <v>180</v>
      </c>
      <c r="C292" s="21">
        <v>9859.2900000000009</v>
      </c>
      <c r="D292" s="18">
        <f t="shared" si="12"/>
        <v>9859.2900000000009</v>
      </c>
      <c r="E292" s="21">
        <f t="shared" si="13"/>
        <v>9366.3255000000008</v>
      </c>
      <c r="F292" s="18">
        <v>1</v>
      </c>
      <c r="G292" s="23" t="s">
        <v>532</v>
      </c>
      <c r="H292" s="22" t="s">
        <v>1033</v>
      </c>
      <c r="I292" s="22" t="s">
        <v>1034</v>
      </c>
      <c r="J292" s="22" t="s">
        <v>1277</v>
      </c>
      <c r="K292" s="11" t="s">
        <v>1467</v>
      </c>
      <c r="M292" s="17">
        <f>IFERROR(
IF(
$A292="","",
(VLOOKUP($G292,'nuevos productoss'!$A:$E,4,0))
),$C292)</f>
        <v>11372.468000000001</v>
      </c>
      <c r="N292" s="17">
        <f>IFERROR(
IF(
$A292="","",
(VLOOKUP($G292,'nuevos productoss'!$A:$E,5,0))
),$C292)</f>
        <v>9637.6119999999992</v>
      </c>
      <c r="O292" s="17">
        <f t="shared" si="14"/>
        <v>1734.8560000000016</v>
      </c>
    </row>
    <row r="293" spans="1:15" x14ac:dyDescent="0.3">
      <c r="A293" s="5" t="s">
        <v>533</v>
      </c>
      <c r="B293" s="20">
        <v>180</v>
      </c>
      <c r="C293" s="21">
        <v>11110.406999999999</v>
      </c>
      <c r="D293" s="18">
        <f t="shared" si="12"/>
        <v>11110.406999999999</v>
      </c>
      <c r="E293" s="21">
        <f t="shared" si="13"/>
        <v>10554.886649999999</v>
      </c>
      <c r="F293" s="18">
        <v>1</v>
      </c>
      <c r="G293" s="23" t="s">
        <v>534</v>
      </c>
      <c r="H293" s="22" t="s">
        <v>1033</v>
      </c>
      <c r="I293" s="22" t="s">
        <v>1034</v>
      </c>
      <c r="J293" s="22" t="s">
        <v>1278</v>
      </c>
      <c r="K293" s="11" t="s">
        <v>1467</v>
      </c>
      <c r="M293" s="17">
        <f>IFERROR(
IF(
$A293="","",
(VLOOKUP($G293,'nuevos productoss'!$A:$E,4,0))
),$C293)</f>
        <v>14533.304</v>
      </c>
      <c r="N293" s="17">
        <f>IFERROR(
IF(
$A293="","",
(VLOOKUP($G293,'nuevos productoss'!$A:$E,5,0))
),$C293)</f>
        <v>12316.412</v>
      </c>
      <c r="O293" s="17">
        <f t="shared" si="14"/>
        <v>2216.8919999999998</v>
      </c>
    </row>
    <row r="294" spans="1:15" x14ac:dyDescent="0.3">
      <c r="A294" s="5" t="s">
        <v>535</v>
      </c>
      <c r="B294" s="20">
        <v>180</v>
      </c>
      <c r="C294" s="21">
        <v>11698.26</v>
      </c>
      <c r="D294" s="18">
        <f t="shared" si="12"/>
        <v>11698.26</v>
      </c>
      <c r="E294" s="21">
        <f t="shared" si="13"/>
        <v>11113.347</v>
      </c>
      <c r="F294" s="18">
        <v>1</v>
      </c>
      <c r="G294" s="23" t="s">
        <v>536</v>
      </c>
      <c r="H294" s="22" t="s">
        <v>1033</v>
      </c>
      <c r="I294" s="22" t="s">
        <v>1034</v>
      </c>
      <c r="J294" s="22" t="s">
        <v>1279</v>
      </c>
      <c r="K294" s="11" t="s">
        <v>1467</v>
      </c>
      <c r="M294" s="17">
        <f>IFERROR(
IF(
$A294="","",
(VLOOKUP($G294,'nuevos productoss'!$A:$E,4,0))
),$C294)</f>
        <v>17208.403999999999</v>
      </c>
      <c r="N294" s="17">
        <f>IFERROR(
IF(
$A294="","",
(VLOOKUP($G294,'nuevos productoss'!$A:$E,5,0))
),$C294)</f>
        <v>14583.476000000001</v>
      </c>
      <c r="O294" s="17">
        <f t="shared" si="14"/>
        <v>2624.9279999999981</v>
      </c>
    </row>
    <row r="295" spans="1:15" x14ac:dyDescent="0.3">
      <c r="B295" s="20"/>
      <c r="C295" s="21"/>
      <c r="D295" s="18">
        <f t="shared" si="12"/>
        <v>0</v>
      </c>
      <c r="E295" s="21" t="str">
        <f t="shared" si="13"/>
        <v/>
      </c>
      <c r="F295" s="18"/>
      <c r="G295" s="5"/>
      <c r="H295" s="22" t="s">
        <v>1865</v>
      </c>
      <c r="I295" s="22" t="s">
        <v>1865</v>
      </c>
      <c r="J295" s="22" t="s">
        <v>1865</v>
      </c>
      <c r="K295" s="11" t="s">
        <v>1467</v>
      </c>
      <c r="M295" s="17" t="str">
        <f>IFERROR(
IF(
$A295="","",
(VLOOKUP($G295,'nuevos productoss'!$A:$E,4,0))
),$C295)</f>
        <v/>
      </c>
      <c r="N295" s="17" t="str">
        <f>IFERROR(
IF(
$A295="","",
(VLOOKUP($G295,'nuevos productoss'!$A:$E,5,0))
),$C295)</f>
        <v/>
      </c>
      <c r="O295" s="17">
        <f t="shared" si="14"/>
        <v>0</v>
      </c>
    </row>
    <row r="296" spans="1:15" x14ac:dyDescent="0.3">
      <c r="B296" s="20"/>
      <c r="C296" s="21"/>
      <c r="D296" s="18">
        <f t="shared" si="12"/>
        <v>0</v>
      </c>
      <c r="E296" s="21" t="str">
        <f t="shared" si="13"/>
        <v/>
      </c>
      <c r="F296" s="18"/>
      <c r="G296" s="5"/>
      <c r="H296" s="22" t="s">
        <v>1865</v>
      </c>
      <c r="I296" s="22" t="s">
        <v>1865</v>
      </c>
      <c r="J296" s="22" t="s">
        <v>1865</v>
      </c>
      <c r="K296" s="11" t="s">
        <v>1467</v>
      </c>
      <c r="M296" s="17" t="str">
        <f>IFERROR(
IF(
$A296="","",
(VLOOKUP($G296,'nuevos productoss'!$A:$E,4,0))
),$C296)</f>
        <v/>
      </c>
      <c r="N296" s="17" t="str">
        <f>IFERROR(
IF(
$A296="","",
(VLOOKUP($G296,'nuevos productoss'!$A:$E,5,0))
),$C296)</f>
        <v/>
      </c>
      <c r="O296" s="17">
        <f t="shared" si="14"/>
        <v>0</v>
      </c>
    </row>
    <row r="297" spans="1:15" x14ac:dyDescent="0.3">
      <c r="A297" s="5" t="s">
        <v>537</v>
      </c>
      <c r="B297" s="20">
        <v>180</v>
      </c>
      <c r="C297" s="21">
        <v>19162.331999999999</v>
      </c>
      <c r="D297" s="18">
        <f t="shared" si="12"/>
        <v>19162.331999999999</v>
      </c>
      <c r="E297" s="21">
        <f t="shared" si="13"/>
        <v>18204.215399999997</v>
      </c>
      <c r="F297" s="18">
        <v>1</v>
      </c>
      <c r="G297" s="23" t="s">
        <v>538</v>
      </c>
      <c r="H297" s="22" t="s">
        <v>1033</v>
      </c>
      <c r="I297" s="22" t="s">
        <v>1034</v>
      </c>
      <c r="J297" s="22" t="s">
        <v>1280</v>
      </c>
      <c r="K297" s="11" t="s">
        <v>1467</v>
      </c>
      <c r="M297" s="17">
        <f>IFERROR(
IF(
$A297="","",
(VLOOKUP($G297,'nuevos productoss'!$A:$E,4,0))
),$C297)</f>
        <v>19162.331999999999</v>
      </c>
      <c r="N297" s="17">
        <f>IFERROR(
IF(
$A297="","",
(VLOOKUP($G297,'nuevos productoss'!$A:$E,5,0))
),$C297)</f>
        <v>19162.331999999999</v>
      </c>
      <c r="O297" s="17">
        <f t="shared" si="14"/>
        <v>0</v>
      </c>
    </row>
    <row r="298" spans="1:15" x14ac:dyDescent="0.3">
      <c r="B298" s="20"/>
      <c r="C298" s="21"/>
      <c r="D298" s="18">
        <f t="shared" si="12"/>
        <v>0</v>
      </c>
      <c r="E298" s="21" t="str">
        <f t="shared" si="13"/>
        <v/>
      </c>
      <c r="F298" s="18"/>
      <c r="G298" s="5"/>
      <c r="H298" s="22" t="s">
        <v>1865</v>
      </c>
      <c r="I298" s="22" t="s">
        <v>1865</v>
      </c>
      <c r="J298" s="22" t="s">
        <v>1865</v>
      </c>
      <c r="K298" s="11" t="s">
        <v>1467</v>
      </c>
      <c r="M298" s="17" t="str">
        <f>IFERROR(
IF(
$A298="","",
(VLOOKUP($G298,'nuevos productoss'!$A:$E,4,0))
),$C298)</f>
        <v/>
      </c>
      <c r="N298" s="17" t="str">
        <f>IFERROR(
IF(
$A298="","",
(VLOOKUP($G298,'nuevos productoss'!$A:$E,5,0))
),$C298)</f>
        <v/>
      </c>
      <c r="O298" s="17">
        <f t="shared" si="14"/>
        <v>0</v>
      </c>
    </row>
    <row r="299" spans="1:15" x14ac:dyDescent="0.3">
      <c r="B299" s="20"/>
      <c r="C299" s="21"/>
      <c r="D299" s="18">
        <f t="shared" si="12"/>
        <v>0</v>
      </c>
      <c r="E299" s="21" t="str">
        <f t="shared" si="13"/>
        <v/>
      </c>
      <c r="F299" s="18"/>
      <c r="G299" s="5"/>
      <c r="H299" s="22" t="s">
        <v>1865</v>
      </c>
      <c r="I299" s="22" t="s">
        <v>1865</v>
      </c>
      <c r="J299" s="22" t="s">
        <v>1865</v>
      </c>
      <c r="K299" s="11" t="s">
        <v>1467</v>
      </c>
      <c r="M299" s="17" t="str">
        <f>IFERROR(
IF(
$A299="","",
(VLOOKUP($G299,'nuevos productoss'!$A:$E,4,0))
),$C299)</f>
        <v/>
      </c>
      <c r="N299" s="17" t="str">
        <f>IFERROR(
IF(
$A299="","",
(VLOOKUP($G299,'nuevos productoss'!$A:$E,5,0))
),$C299)</f>
        <v/>
      </c>
      <c r="O299" s="17">
        <f t="shared" si="14"/>
        <v>0</v>
      </c>
    </row>
    <row r="300" spans="1:15" x14ac:dyDescent="0.3">
      <c r="A300" s="5" t="s">
        <v>539</v>
      </c>
      <c r="B300" s="20">
        <v>180</v>
      </c>
      <c r="C300" s="21">
        <v>45490.031999999999</v>
      </c>
      <c r="D300" s="18">
        <f t="shared" si="12"/>
        <v>45490.031999999999</v>
      </c>
      <c r="E300" s="21">
        <f t="shared" si="13"/>
        <v>43215.530399999996</v>
      </c>
      <c r="F300" s="18">
        <v>1</v>
      </c>
      <c r="G300" s="23" t="s">
        <v>540</v>
      </c>
      <c r="H300" s="22" t="s">
        <v>1033</v>
      </c>
      <c r="I300" s="22" t="s">
        <v>1034</v>
      </c>
      <c r="J300" s="22" t="s">
        <v>1281</v>
      </c>
      <c r="K300" s="11" t="s">
        <v>1467</v>
      </c>
      <c r="M300" s="17">
        <f>IFERROR(
IF(
$A300="","",
(VLOOKUP($G300,'nuevos productoss'!$A:$E,4,0))
),$C300)</f>
        <v>58853.383999999998</v>
      </c>
      <c r="N300" s="17">
        <f>IFERROR(
IF(
$A300="","",
(VLOOKUP($G300,'nuevos productoss'!$A:$E,5,0))
),$C300)</f>
        <v>49875.703999999998</v>
      </c>
      <c r="O300" s="17">
        <f t="shared" si="14"/>
        <v>8977.68</v>
      </c>
    </row>
    <row r="301" spans="1:15" x14ac:dyDescent="0.3">
      <c r="A301" s="5" t="s">
        <v>541</v>
      </c>
      <c r="B301" s="20">
        <v>180</v>
      </c>
      <c r="C301" s="21">
        <v>50625.917999999998</v>
      </c>
      <c r="D301" s="18">
        <f t="shared" si="12"/>
        <v>50625.917999999998</v>
      </c>
      <c r="E301" s="21">
        <f t="shared" si="13"/>
        <v>48094.622099999993</v>
      </c>
      <c r="F301" s="18">
        <v>1</v>
      </c>
      <c r="G301" s="23" t="s">
        <v>542</v>
      </c>
      <c r="H301" s="22" t="s">
        <v>1033</v>
      </c>
      <c r="I301" s="22" t="s">
        <v>1034</v>
      </c>
      <c r="J301" s="22" t="s">
        <v>1282</v>
      </c>
      <c r="K301" s="11" t="s">
        <v>1467</v>
      </c>
      <c r="M301" s="17">
        <f>IFERROR(
IF(
$A301="","",
(VLOOKUP($G301,'nuevos productoss'!$A:$E,4,0))
),$C301)</f>
        <v>50625.917999999998</v>
      </c>
      <c r="N301" s="17">
        <f>IFERROR(
IF(
$A301="","",
(VLOOKUP($G301,'nuevos productoss'!$A:$E,5,0))
),$C301)</f>
        <v>50625.917999999998</v>
      </c>
      <c r="O301" s="17">
        <f t="shared" si="14"/>
        <v>0</v>
      </c>
    </row>
    <row r="302" spans="1:15" x14ac:dyDescent="0.3">
      <c r="A302" s="5" t="s">
        <v>543</v>
      </c>
      <c r="B302" s="20">
        <v>180</v>
      </c>
      <c r="C302" s="21">
        <v>14558.439</v>
      </c>
      <c r="D302" s="18">
        <f t="shared" si="12"/>
        <v>14558.439</v>
      </c>
      <c r="E302" s="21">
        <f t="shared" si="13"/>
        <v>13830.51705</v>
      </c>
      <c r="F302" s="18">
        <v>1</v>
      </c>
      <c r="G302" s="23" t="s">
        <v>544</v>
      </c>
      <c r="H302" s="22" t="s">
        <v>1033</v>
      </c>
      <c r="I302" s="22" t="s">
        <v>1036</v>
      </c>
      <c r="J302" s="22" t="s">
        <v>1283</v>
      </c>
      <c r="K302" s="11" t="s">
        <v>1467</v>
      </c>
      <c r="M302" s="17">
        <f>IFERROR(
IF(
$A302="","",
(VLOOKUP($G302,'nuevos productoss'!$A:$E,4,0))
),$C302)</f>
        <v>30244.54</v>
      </c>
      <c r="N302" s="17">
        <f>IFERROR(
IF(
$A302="","",
(VLOOKUP($G302,'nuevos productoss'!$A:$E,5,0))
),$C302)</f>
        <v>25630.936000000002</v>
      </c>
      <c r="O302" s="17">
        <f t="shared" si="14"/>
        <v>4613.6039999999994</v>
      </c>
    </row>
    <row r="303" spans="1:15" x14ac:dyDescent="0.3">
      <c r="A303" s="5" t="s">
        <v>545</v>
      </c>
      <c r="B303" s="20">
        <v>180</v>
      </c>
      <c r="C303" s="21">
        <v>29202.725999999999</v>
      </c>
      <c r="D303" s="18">
        <f t="shared" si="12"/>
        <v>29202.725999999999</v>
      </c>
      <c r="E303" s="21">
        <f t="shared" si="13"/>
        <v>27742.589699999997</v>
      </c>
      <c r="F303" s="18">
        <v>1</v>
      </c>
      <c r="G303" s="23" t="s">
        <v>546</v>
      </c>
      <c r="H303" s="22" t="s">
        <v>1033</v>
      </c>
      <c r="I303" s="22" t="s">
        <v>1036</v>
      </c>
      <c r="J303" s="22" t="s">
        <v>1284</v>
      </c>
      <c r="K303" s="11" t="s">
        <v>1467</v>
      </c>
      <c r="M303" s="17">
        <f>IFERROR(
IF(
$A303="","",
(VLOOKUP($G303,'nuevos productoss'!$A:$E,4,0))
),$C303)</f>
        <v>58535.48</v>
      </c>
      <c r="N303" s="17">
        <f>IFERROR(
IF(
$A303="","",
(VLOOKUP($G303,'nuevos productoss'!$A:$E,5,0))
),$C303)</f>
        <v>49606.343999999997</v>
      </c>
      <c r="O303" s="17">
        <f t="shared" si="14"/>
        <v>8929.1360000000059</v>
      </c>
    </row>
    <row r="304" spans="1:15" x14ac:dyDescent="0.3">
      <c r="A304" s="5" t="s">
        <v>547</v>
      </c>
      <c r="B304" s="20">
        <v>180</v>
      </c>
      <c r="C304" s="21">
        <v>74183.108999999997</v>
      </c>
      <c r="D304" s="18">
        <f t="shared" si="12"/>
        <v>74183.108999999997</v>
      </c>
      <c r="E304" s="21">
        <f t="shared" si="13"/>
        <v>70473.953549999991</v>
      </c>
      <c r="F304" s="18">
        <v>1</v>
      </c>
      <c r="G304" s="23" t="s">
        <v>548</v>
      </c>
      <c r="H304" s="22" t="s">
        <v>1033</v>
      </c>
      <c r="I304" s="22" t="s">
        <v>1036</v>
      </c>
      <c r="J304" s="22" t="s">
        <v>1285</v>
      </c>
      <c r="K304" s="11" t="s">
        <v>1467</v>
      </c>
      <c r="M304" s="17">
        <f>IFERROR(
IF(
$A304="","",
(VLOOKUP($G304,'nuevos productoss'!$A:$E,4,0))
),$C304)</f>
        <v>74183.108999999997</v>
      </c>
      <c r="N304" s="17">
        <f>IFERROR(
IF(
$A304="","",
(VLOOKUP($G304,'nuevos productoss'!$A:$E,5,0))
),$C304)</f>
        <v>74183.108999999997</v>
      </c>
      <c r="O304" s="17">
        <f t="shared" si="14"/>
        <v>0</v>
      </c>
    </row>
    <row r="305" spans="1:15" x14ac:dyDescent="0.3">
      <c r="A305" s="5" t="s">
        <v>549</v>
      </c>
      <c r="B305" s="20">
        <v>180</v>
      </c>
      <c r="C305" s="21">
        <v>76576.122000000003</v>
      </c>
      <c r="D305" s="18">
        <f t="shared" si="12"/>
        <v>76576.122000000003</v>
      </c>
      <c r="E305" s="21">
        <f t="shared" si="13"/>
        <v>72747.315900000001</v>
      </c>
      <c r="F305" s="18">
        <v>1</v>
      </c>
      <c r="G305" s="23" t="s">
        <v>550</v>
      </c>
      <c r="H305" s="22" t="s">
        <v>1033</v>
      </c>
      <c r="I305" s="22" t="s">
        <v>1036</v>
      </c>
      <c r="J305" s="22" t="s">
        <v>1286</v>
      </c>
      <c r="K305" s="11" t="s">
        <v>1467</v>
      </c>
      <c r="M305" s="17">
        <f>IFERROR(
IF(
$A305="","",
(VLOOKUP($G305,'nuevos productoss'!$A:$E,4,0))
),$C305)</f>
        <v>76576.122000000003</v>
      </c>
      <c r="N305" s="17">
        <f>IFERROR(
IF(
$A305="","",
(VLOOKUP($G305,'nuevos productoss'!$A:$E,5,0))
),$C305)</f>
        <v>76576.122000000003</v>
      </c>
      <c r="O305" s="17">
        <f t="shared" si="14"/>
        <v>0</v>
      </c>
    </row>
    <row r="306" spans="1:15" x14ac:dyDescent="0.3">
      <c r="A306" s="5" t="s">
        <v>551</v>
      </c>
      <c r="B306" s="20">
        <v>180</v>
      </c>
      <c r="C306" s="21">
        <v>76576.122000000003</v>
      </c>
      <c r="D306" s="18">
        <f t="shared" si="12"/>
        <v>76576.122000000003</v>
      </c>
      <c r="E306" s="21">
        <f t="shared" si="13"/>
        <v>72747.315900000001</v>
      </c>
      <c r="F306" s="18">
        <v>1</v>
      </c>
      <c r="G306" s="23" t="s">
        <v>552</v>
      </c>
      <c r="H306" s="22" t="s">
        <v>1033</v>
      </c>
      <c r="I306" s="22" t="s">
        <v>1036</v>
      </c>
      <c r="J306" s="22" t="s">
        <v>1286</v>
      </c>
      <c r="K306" s="11" t="s">
        <v>1467</v>
      </c>
      <c r="M306" s="17">
        <f>IFERROR(
IF(
$A306="","",
(VLOOKUP($G306,'nuevos productoss'!$A:$E,4,0))
),$C306)</f>
        <v>76576.122000000003</v>
      </c>
      <c r="N306" s="17">
        <f>IFERROR(
IF(
$A306="","",
(VLOOKUP($G306,'nuevos productoss'!$A:$E,5,0))
),$C306)</f>
        <v>76576.122000000003</v>
      </c>
      <c r="O306" s="17">
        <f t="shared" si="14"/>
        <v>0</v>
      </c>
    </row>
    <row r="307" spans="1:15" x14ac:dyDescent="0.3">
      <c r="A307" s="5" t="s">
        <v>553</v>
      </c>
      <c r="B307" s="20">
        <v>180</v>
      </c>
      <c r="C307" s="21">
        <v>144093.95699999999</v>
      </c>
      <c r="D307" s="18">
        <f t="shared" si="12"/>
        <v>144093.95699999999</v>
      </c>
      <c r="E307" s="21">
        <f t="shared" si="13"/>
        <v>136889.25915</v>
      </c>
      <c r="F307" s="18">
        <v>1</v>
      </c>
      <c r="G307" s="23" t="s">
        <v>554</v>
      </c>
      <c r="H307" s="22" t="s">
        <v>1033</v>
      </c>
      <c r="I307" s="22" t="s">
        <v>1036</v>
      </c>
      <c r="J307" s="22" t="s">
        <v>1287</v>
      </c>
      <c r="K307" s="11" t="s">
        <v>1467</v>
      </c>
      <c r="M307" s="17">
        <f>IFERROR(
IF(
$A307="","",
(VLOOKUP($G307,'nuevos productoss'!$A:$E,4,0))
),$C307)</f>
        <v>205931.04800000001</v>
      </c>
      <c r="N307" s="17">
        <f>IFERROR(
IF(
$A307="","",
(VLOOKUP($G307,'nuevos productoss'!$A:$E,5,0))
),$C307)</f>
        <v>174517.9</v>
      </c>
      <c r="O307" s="17">
        <f t="shared" si="14"/>
        <v>31413.148000000016</v>
      </c>
    </row>
    <row r="308" spans="1:15" x14ac:dyDescent="0.3">
      <c r="A308" s="5" t="s">
        <v>555</v>
      </c>
      <c r="B308" s="20">
        <v>180</v>
      </c>
      <c r="C308" s="21">
        <v>57823.332000000002</v>
      </c>
      <c r="D308" s="18">
        <f t="shared" si="12"/>
        <v>57823.332000000002</v>
      </c>
      <c r="E308" s="21">
        <f t="shared" si="13"/>
        <v>54932.165399999998</v>
      </c>
      <c r="F308" s="18">
        <v>1</v>
      </c>
      <c r="G308" s="23" t="s">
        <v>556</v>
      </c>
      <c r="H308" s="22" t="s">
        <v>1033</v>
      </c>
      <c r="I308" s="22" t="s">
        <v>1036</v>
      </c>
      <c r="J308" s="22" t="s">
        <v>1288</v>
      </c>
      <c r="K308" s="11" t="s">
        <v>1467</v>
      </c>
      <c r="M308" s="17">
        <f>IFERROR(
IF(
$A308="","",
(VLOOKUP($G308,'nuevos productoss'!$A:$E,4,0))
),$C308)</f>
        <v>111790.61599999999</v>
      </c>
      <c r="N308" s="17">
        <f>IFERROR(
IF(
$A308="","",
(VLOOKUP($G308,'nuevos productoss'!$A:$E,5,0))
),$C308)</f>
        <v>94737.907999999996</v>
      </c>
      <c r="O308" s="17">
        <f t="shared" si="14"/>
        <v>17052.707999999999</v>
      </c>
    </row>
    <row r="309" spans="1:15" x14ac:dyDescent="0.3">
      <c r="A309" s="5" t="s">
        <v>557</v>
      </c>
      <c r="B309" s="20">
        <v>180</v>
      </c>
      <c r="C309" s="21">
        <v>67682.769</v>
      </c>
      <c r="D309" s="18">
        <f t="shared" si="12"/>
        <v>67682.769</v>
      </c>
      <c r="E309" s="21">
        <f t="shared" si="13"/>
        <v>64298.630549999994</v>
      </c>
      <c r="F309" s="18">
        <v>1</v>
      </c>
      <c r="G309" s="23" t="s">
        <v>558</v>
      </c>
      <c r="H309" s="22" t="s">
        <v>1058</v>
      </c>
      <c r="I309" s="22" t="s">
        <v>1062</v>
      </c>
      <c r="J309" s="22" t="s">
        <v>1289</v>
      </c>
      <c r="K309" s="11" t="s">
        <v>1467</v>
      </c>
      <c r="M309" s="17">
        <f>IFERROR(
IF(
$A309="","",
(VLOOKUP($G309,'nuevos productoss'!$A:$E,4,0))
),$C309)</f>
        <v>66434.683999999994</v>
      </c>
      <c r="N309" s="17">
        <f>IFERROR(
IF(
$A309="","",
(VLOOKUP($G309,'nuevos productoss'!$A:$E,5,0))
),$C309)</f>
        <v>56300.68</v>
      </c>
      <c r="O309" s="17">
        <f t="shared" si="14"/>
        <v>10134.003999999994</v>
      </c>
    </row>
    <row r="310" spans="1:15" x14ac:dyDescent="0.3">
      <c r="A310" s="5" t="s">
        <v>559</v>
      </c>
      <c r="B310" s="20">
        <v>1024</v>
      </c>
      <c r="C310" s="21">
        <v>173844.99299999999</v>
      </c>
      <c r="D310" s="18">
        <f t="shared" si="12"/>
        <v>173844.99299999999</v>
      </c>
      <c r="E310" s="21">
        <f t="shared" si="13"/>
        <v>165152.74334999998</v>
      </c>
      <c r="F310" s="18">
        <v>1</v>
      </c>
      <c r="G310" s="23" t="s">
        <v>560</v>
      </c>
      <c r="H310" s="22" t="s">
        <v>1058</v>
      </c>
      <c r="I310" s="22" t="s">
        <v>1068</v>
      </c>
      <c r="J310" s="22">
        <v>0</v>
      </c>
      <c r="K310" s="11" t="s">
        <v>1467</v>
      </c>
      <c r="M310" s="17">
        <f>IFERROR(
IF(
$A310="","",
(VLOOKUP($G310,'nuevos productoss'!$A:$E,4,0))
),$C310)</f>
        <v>173844.99299999999</v>
      </c>
      <c r="N310" s="17">
        <f>IFERROR(
IF(
$A310="","",
(VLOOKUP($G310,'nuevos productoss'!$A:$E,5,0))
),$C310)</f>
        <v>173844.99299999999</v>
      </c>
      <c r="O310" s="17">
        <f t="shared" si="14"/>
        <v>0</v>
      </c>
    </row>
    <row r="311" spans="1:15" x14ac:dyDescent="0.3">
      <c r="A311" s="5" t="s">
        <v>561</v>
      </c>
      <c r="B311" s="20">
        <v>1024</v>
      </c>
      <c r="C311" s="21">
        <v>189565.614</v>
      </c>
      <c r="D311" s="18">
        <f t="shared" si="12"/>
        <v>189565.614</v>
      </c>
      <c r="E311" s="21">
        <f t="shared" si="13"/>
        <v>180087.3333</v>
      </c>
      <c r="F311" s="18">
        <v>1</v>
      </c>
      <c r="G311" s="23" t="s">
        <v>562</v>
      </c>
      <c r="H311" s="22" t="s">
        <v>1058</v>
      </c>
      <c r="I311" s="22" t="s">
        <v>1068</v>
      </c>
      <c r="J311" s="22">
        <v>0</v>
      </c>
      <c r="K311" s="11" t="s">
        <v>1467</v>
      </c>
      <c r="M311" s="17">
        <f>IFERROR(
IF(
$A311="","",
(VLOOKUP($G311,'nuevos productoss'!$A:$E,4,0))
),$C311)</f>
        <v>189565.614</v>
      </c>
      <c r="N311" s="17">
        <f>IFERROR(
IF(
$A311="","",
(VLOOKUP($G311,'nuevos productoss'!$A:$E,5,0))
),$C311)</f>
        <v>189565.614</v>
      </c>
      <c r="O311" s="17">
        <f t="shared" si="14"/>
        <v>0</v>
      </c>
    </row>
    <row r="312" spans="1:15" x14ac:dyDescent="0.3">
      <c r="A312" s="5" t="s">
        <v>563</v>
      </c>
      <c r="B312" s="20">
        <v>365</v>
      </c>
      <c r="C312" s="21">
        <v>188258.93100000001</v>
      </c>
      <c r="D312" s="18">
        <f t="shared" si="12"/>
        <v>188258.93100000001</v>
      </c>
      <c r="E312" s="21">
        <f t="shared" si="13"/>
        <v>178845.98444999999</v>
      </c>
      <c r="F312" s="18">
        <v>1</v>
      </c>
      <c r="G312" s="23" t="s">
        <v>564</v>
      </c>
      <c r="H312" s="22" t="s">
        <v>1058</v>
      </c>
      <c r="I312" s="22" t="s">
        <v>1068</v>
      </c>
      <c r="J312" s="22">
        <v>0</v>
      </c>
      <c r="K312" s="11" t="s">
        <v>1467</v>
      </c>
      <c r="M312" s="17">
        <f>IFERROR(
IF(
$A312="","",
(VLOOKUP($G312,'nuevos productoss'!$A:$E,4,0))
),$C312)</f>
        <v>184787.62</v>
      </c>
      <c r="N312" s="17">
        <f>IFERROR(
IF(
$A312="","",
(VLOOKUP($G312,'nuevos productoss'!$A:$E,5,0))
),$C312)</f>
        <v>156599.68799999999</v>
      </c>
      <c r="O312" s="17">
        <f t="shared" si="14"/>
        <v>28187.932000000001</v>
      </c>
    </row>
    <row r="313" spans="1:15" x14ac:dyDescent="0.3">
      <c r="A313" s="5" t="s">
        <v>565</v>
      </c>
      <c r="B313" s="20">
        <v>365</v>
      </c>
      <c r="C313" s="21">
        <v>225956.78700000001</v>
      </c>
      <c r="D313" s="18">
        <f t="shared" si="12"/>
        <v>225956.78700000001</v>
      </c>
      <c r="E313" s="21">
        <f t="shared" si="13"/>
        <v>214658.94764999999</v>
      </c>
      <c r="F313" s="18">
        <v>1</v>
      </c>
      <c r="G313" s="23" t="s">
        <v>566</v>
      </c>
      <c r="H313" s="22" t="s">
        <v>1058</v>
      </c>
      <c r="I313" s="22" t="s">
        <v>1068</v>
      </c>
      <c r="J313" s="22" t="s">
        <v>1290</v>
      </c>
      <c r="K313" s="11" t="s">
        <v>1467</v>
      </c>
      <c r="M313" s="17">
        <f>IFERROR(
IF(
$A313="","",
(VLOOKUP($G313,'nuevos productoss'!$A:$E,4,0))
),$C313)</f>
        <v>225956.78700000001</v>
      </c>
      <c r="N313" s="17">
        <f>IFERROR(
IF(
$A313="","",
(VLOOKUP($G313,'nuevos productoss'!$A:$E,5,0))
),$C313)</f>
        <v>225956.78700000001</v>
      </c>
      <c r="O313" s="17">
        <f t="shared" si="14"/>
        <v>0</v>
      </c>
    </row>
    <row r="314" spans="1:15" x14ac:dyDescent="0.3">
      <c r="A314" s="5" t="s">
        <v>567</v>
      </c>
      <c r="B314" s="20">
        <v>365</v>
      </c>
      <c r="C314" s="21">
        <v>336235.74599999998</v>
      </c>
      <c r="D314" s="18">
        <f t="shared" si="12"/>
        <v>336235.74599999998</v>
      </c>
      <c r="E314" s="21">
        <f t="shared" si="13"/>
        <v>319423.95869999996</v>
      </c>
      <c r="F314" s="18">
        <v>1</v>
      </c>
      <c r="G314" s="23" t="s">
        <v>568</v>
      </c>
      <c r="H314" s="22" t="s">
        <v>1058</v>
      </c>
      <c r="I314" s="22" t="s">
        <v>1068</v>
      </c>
      <c r="J314" s="22" t="s">
        <v>1291</v>
      </c>
      <c r="K314" s="11" t="s">
        <v>1467</v>
      </c>
      <c r="M314" s="17">
        <f>IFERROR(
IF(
$A314="","",
(VLOOKUP($G314,'nuevos productoss'!$A:$E,4,0))
),$C314)</f>
        <v>317433.212</v>
      </c>
      <c r="N314" s="17">
        <f>IFERROR(
IF(
$A314="","",
(VLOOKUP($G314,'nuevos productoss'!$A:$E,5,0))
),$C314)</f>
        <v>269011.16399999999</v>
      </c>
      <c r="O314" s="17">
        <f t="shared" si="14"/>
        <v>48422.04800000001</v>
      </c>
    </row>
    <row r="315" spans="1:15" x14ac:dyDescent="0.3">
      <c r="A315" s="5" t="s">
        <v>569</v>
      </c>
      <c r="B315" s="20">
        <v>365</v>
      </c>
      <c r="C315" s="21">
        <v>300443.745</v>
      </c>
      <c r="D315" s="18">
        <f t="shared" si="12"/>
        <v>300443.745</v>
      </c>
      <c r="E315" s="21">
        <f t="shared" si="13"/>
        <v>285421.55774999998</v>
      </c>
      <c r="F315" s="18">
        <v>1</v>
      </c>
      <c r="G315" s="23" t="s">
        <v>570</v>
      </c>
      <c r="H315" s="22" t="s">
        <v>1058</v>
      </c>
      <c r="I315" s="22" t="s">
        <v>1068</v>
      </c>
      <c r="J315" s="22" t="s">
        <v>1292</v>
      </c>
      <c r="K315" s="11" t="s">
        <v>1467</v>
      </c>
      <c r="M315" s="17">
        <f>IFERROR(
IF(
$A315="","",
(VLOOKUP($G315,'nuevos productoss'!$A:$E,4,0))
),$C315)</f>
        <v>290009.99599999998</v>
      </c>
      <c r="N315" s="17">
        <f>IFERROR(
IF(
$A315="","",
(VLOOKUP($G315,'nuevos productoss'!$A:$E,5,0))
),$C315)</f>
        <v>245771.16800000001</v>
      </c>
      <c r="O315" s="17">
        <f t="shared" si="14"/>
        <v>44238.82799999998</v>
      </c>
    </row>
    <row r="316" spans="1:15" x14ac:dyDescent="0.3">
      <c r="A316" s="5" t="s">
        <v>571</v>
      </c>
      <c r="B316" s="20">
        <v>15</v>
      </c>
      <c r="C316" s="21">
        <v>5743.143</v>
      </c>
      <c r="D316" s="18">
        <f t="shared" si="12"/>
        <v>5743.143</v>
      </c>
      <c r="E316" s="21">
        <f t="shared" si="13"/>
        <v>5455.98585</v>
      </c>
      <c r="F316" s="18">
        <v>1</v>
      </c>
      <c r="G316" s="23" t="s">
        <v>572</v>
      </c>
      <c r="H316" s="22" t="s">
        <v>1058</v>
      </c>
      <c r="I316" s="22" t="s">
        <v>1029</v>
      </c>
      <c r="J316" s="22" t="s">
        <v>1293</v>
      </c>
      <c r="K316" s="11" t="s">
        <v>1467</v>
      </c>
      <c r="M316" s="17">
        <f>IFERROR(
IF(
$A316="","",
(VLOOKUP($G316,'nuevos productoss'!$A:$E,4,0))
),$C316)</f>
        <v>5637.7640000000001</v>
      </c>
      <c r="N316" s="17">
        <f>IFERROR(
IF(
$A316="","",
(VLOOKUP($G316,'nuevos productoss'!$A:$E,5,0))
),$C316)</f>
        <v>4777.7359999999999</v>
      </c>
      <c r="O316" s="17">
        <f t="shared" si="14"/>
        <v>860.02800000000025</v>
      </c>
    </row>
    <row r="317" spans="1:15" x14ac:dyDescent="0.3">
      <c r="A317" s="5" t="s">
        <v>573</v>
      </c>
      <c r="B317" s="20">
        <v>15</v>
      </c>
      <c r="C317" s="21">
        <v>6169.1490000000003</v>
      </c>
      <c r="D317" s="18">
        <f t="shared" si="12"/>
        <v>6169.1490000000003</v>
      </c>
      <c r="E317" s="21">
        <f t="shared" si="13"/>
        <v>5860.6915500000005</v>
      </c>
      <c r="F317" s="18">
        <v>1</v>
      </c>
      <c r="G317" s="23" t="s">
        <v>574</v>
      </c>
      <c r="H317" s="22" t="s">
        <v>1058</v>
      </c>
      <c r="I317" s="22" t="s">
        <v>1029</v>
      </c>
      <c r="J317" s="22" t="s">
        <v>1294</v>
      </c>
      <c r="K317" s="11" t="s">
        <v>1467</v>
      </c>
      <c r="M317" s="17">
        <f>IFERROR(
IF(
$A317="","",
(VLOOKUP($G317,'nuevos productoss'!$A:$E,4,0))
),$C317)</f>
        <v>6055.2719999999999</v>
      </c>
      <c r="N317" s="17">
        <f>IFERROR(
IF(
$A317="","",
(VLOOKUP($G317,'nuevos productoss'!$A:$E,5,0))
),$C317)</f>
        <v>5131.6040000000003</v>
      </c>
      <c r="O317" s="17">
        <f t="shared" si="14"/>
        <v>923.66799999999967</v>
      </c>
    </row>
    <row r="318" spans="1:15" x14ac:dyDescent="0.3">
      <c r="A318" s="5" t="s">
        <v>575</v>
      </c>
      <c r="B318" s="20">
        <v>15</v>
      </c>
      <c r="C318" s="21">
        <v>7538.0129999999999</v>
      </c>
      <c r="D318" s="18">
        <f t="shared" si="12"/>
        <v>7538.0129999999999</v>
      </c>
      <c r="E318" s="21">
        <f t="shared" si="13"/>
        <v>7161.1123499999994</v>
      </c>
      <c r="F318" s="18">
        <v>1</v>
      </c>
      <c r="G318" s="23" t="s">
        <v>576</v>
      </c>
      <c r="H318" s="22" t="s">
        <v>1058</v>
      </c>
      <c r="I318" s="22" t="s">
        <v>1029</v>
      </c>
      <c r="J318" s="22" t="s">
        <v>1295</v>
      </c>
      <c r="K318" s="11" t="s">
        <v>1467</v>
      </c>
      <c r="M318" s="17">
        <f>IFERROR(
IF(
$A318="","",
(VLOOKUP($G318,'nuevos productoss'!$A:$E,4,0))
),$C318)</f>
        <v>7117.616</v>
      </c>
      <c r="N318" s="17">
        <f>IFERROR(
IF(
$A318="","",
(VLOOKUP($G318,'nuevos productoss'!$A:$E,5,0))
),$C318)</f>
        <v>6031.8879999999999</v>
      </c>
      <c r="O318" s="17">
        <f t="shared" si="14"/>
        <v>1085.7280000000001</v>
      </c>
    </row>
    <row r="319" spans="1:15" x14ac:dyDescent="0.3">
      <c r="A319" s="5" t="s">
        <v>577</v>
      </c>
      <c r="B319" s="20">
        <v>15</v>
      </c>
      <c r="C319" s="21">
        <v>10630.011</v>
      </c>
      <c r="D319" s="18">
        <f t="shared" si="12"/>
        <v>10630.011</v>
      </c>
      <c r="E319" s="21">
        <f t="shared" si="13"/>
        <v>10098.51045</v>
      </c>
      <c r="F319" s="18">
        <v>1</v>
      </c>
      <c r="G319" s="23" t="s">
        <v>578</v>
      </c>
      <c r="H319" s="22" t="s">
        <v>1058</v>
      </c>
      <c r="I319" s="22" t="s">
        <v>1029</v>
      </c>
      <c r="J319" s="22" t="s">
        <v>1296</v>
      </c>
      <c r="K319" s="11" t="s">
        <v>1467</v>
      </c>
      <c r="M319" s="17">
        <f>IFERROR(
IF(
$A319="","",
(VLOOKUP($G319,'nuevos productoss'!$A:$E,4,0))
),$C319)</f>
        <v>10434.74</v>
      </c>
      <c r="N319" s="17">
        <f>IFERROR(
IF(
$A319="","",
(VLOOKUP($G319,'nuevos productoss'!$A:$E,5,0))
),$C319)</f>
        <v>8843</v>
      </c>
      <c r="O319" s="17">
        <f t="shared" si="14"/>
        <v>1591.7399999999998</v>
      </c>
    </row>
    <row r="320" spans="1:15" x14ac:dyDescent="0.3">
      <c r="A320" s="5" t="s">
        <v>579</v>
      </c>
      <c r="B320" s="20">
        <v>15</v>
      </c>
      <c r="C320" s="21">
        <v>10630.011</v>
      </c>
      <c r="D320" s="18">
        <f t="shared" si="12"/>
        <v>10630.011</v>
      </c>
      <c r="E320" s="21">
        <f t="shared" si="13"/>
        <v>10098.51045</v>
      </c>
      <c r="F320" s="18">
        <v>1</v>
      </c>
      <c r="G320" s="23" t="s">
        <v>580</v>
      </c>
      <c r="H320" s="22" t="s">
        <v>1058</v>
      </c>
      <c r="I320" s="22" t="s">
        <v>1029</v>
      </c>
      <c r="J320" s="22" t="s">
        <v>1297</v>
      </c>
      <c r="K320" s="11" t="s">
        <v>1467</v>
      </c>
      <c r="M320" s="17">
        <f>IFERROR(
IF(
$A320="","",
(VLOOKUP($G320,'nuevos productoss'!$A:$E,4,0))
),$C320)</f>
        <v>10434.74</v>
      </c>
      <c r="N320" s="17">
        <f>IFERROR(
IF(
$A320="","",
(VLOOKUP($G320,'nuevos productoss'!$A:$E,5,0))
),$C320)</f>
        <v>8843</v>
      </c>
      <c r="O320" s="17">
        <f t="shared" si="14"/>
        <v>1591.7399999999998</v>
      </c>
    </row>
    <row r="321" spans="1:15" x14ac:dyDescent="0.3">
      <c r="A321" s="5" t="s">
        <v>581</v>
      </c>
      <c r="B321" s="20">
        <v>15</v>
      </c>
      <c r="C321" s="21">
        <v>11616.822</v>
      </c>
      <c r="D321" s="18">
        <f t="shared" si="12"/>
        <v>11616.822</v>
      </c>
      <c r="E321" s="21">
        <f t="shared" si="13"/>
        <v>11035.9809</v>
      </c>
      <c r="F321" s="18">
        <v>1</v>
      </c>
      <c r="G321" s="23" t="s">
        <v>582</v>
      </c>
      <c r="H321" s="22" t="s">
        <v>1058</v>
      </c>
      <c r="I321" s="22" t="s">
        <v>1029</v>
      </c>
      <c r="J321" s="22" t="s">
        <v>1298</v>
      </c>
      <c r="K321" s="11" t="s">
        <v>1467</v>
      </c>
      <c r="M321" s="17">
        <f>IFERROR(
IF(
$A321="","",
(VLOOKUP($G321,'nuevos productoss'!$A:$E,4,0))
),$C321)</f>
        <v>11616.822</v>
      </c>
      <c r="N321" s="17">
        <f>IFERROR(
IF(
$A321="","",
(VLOOKUP($G321,'nuevos productoss'!$A:$E,5,0))
),$C321)</f>
        <v>11616.822</v>
      </c>
      <c r="O321" s="17">
        <f t="shared" si="14"/>
        <v>0</v>
      </c>
    </row>
    <row r="322" spans="1:15" x14ac:dyDescent="0.3">
      <c r="A322" s="5" t="s">
        <v>583</v>
      </c>
      <c r="B322" s="20">
        <v>15</v>
      </c>
      <c r="C322" s="21">
        <v>11730.453</v>
      </c>
      <c r="D322" s="18">
        <f t="shared" si="12"/>
        <v>11730.453</v>
      </c>
      <c r="E322" s="21">
        <f t="shared" si="13"/>
        <v>11143.930349999999</v>
      </c>
      <c r="F322" s="18">
        <v>1</v>
      </c>
      <c r="G322" s="23" t="s">
        <v>584</v>
      </c>
      <c r="H322" s="22" t="s">
        <v>1058</v>
      </c>
      <c r="I322" s="22" t="s">
        <v>1029</v>
      </c>
      <c r="J322" s="22" t="s">
        <v>1299</v>
      </c>
      <c r="K322" s="11" t="s">
        <v>1467</v>
      </c>
      <c r="M322" s="17">
        <f>IFERROR(
IF(
$A322="","",
(VLOOKUP($G322,'nuevos productoss'!$A:$E,4,0))
),$C322)</f>
        <v>11514.992</v>
      </c>
      <c r="N322" s="17">
        <f>IFERROR(
IF(
$A322="","",
(VLOOKUP($G322,'nuevos productoss'!$A:$E,5,0))
),$C322)</f>
        <v>9758.3799999999992</v>
      </c>
      <c r="O322" s="17">
        <f t="shared" si="14"/>
        <v>1756.612000000001</v>
      </c>
    </row>
    <row r="323" spans="1:15" x14ac:dyDescent="0.3">
      <c r="A323" s="5" t="s">
        <v>585</v>
      </c>
      <c r="B323" s="20">
        <v>15</v>
      </c>
      <c r="C323" s="21">
        <v>12082.370999999999</v>
      </c>
      <c r="D323" s="18">
        <f t="shared" ref="D323:D386" si="15">+C323</f>
        <v>12082.370999999999</v>
      </c>
      <c r="E323" s="21">
        <f t="shared" ref="E323:E386" si="16">IF(
A323="","",
C323*0.95)</f>
        <v>11478.252449999998</v>
      </c>
      <c r="F323" s="18">
        <v>1</v>
      </c>
      <c r="G323" s="23" t="s">
        <v>586</v>
      </c>
      <c r="H323" s="22" t="s">
        <v>1058</v>
      </c>
      <c r="I323" s="22" t="s">
        <v>1029</v>
      </c>
      <c r="J323" s="22" t="s">
        <v>1300</v>
      </c>
      <c r="K323" s="11" t="s">
        <v>1467</v>
      </c>
      <c r="M323" s="17">
        <f>IFERROR(
IF(
$A323="","",
(VLOOKUP($G323,'nuevos productoss'!$A:$E,4,0))
),$C323)</f>
        <v>11860.424000000001</v>
      </c>
      <c r="N323" s="17">
        <f>IFERROR(
IF(
$A323="","",
(VLOOKUP($G323,'nuevos productoss'!$A:$E,5,0))
),$C323)</f>
        <v>10051.124</v>
      </c>
      <c r="O323" s="17">
        <f t="shared" ref="O323:O386" si="17">IFERROR(M323-N323,0)</f>
        <v>1809.3000000000011</v>
      </c>
    </row>
    <row r="324" spans="1:15" x14ac:dyDescent="0.3">
      <c r="A324" s="5" t="s">
        <v>587</v>
      </c>
      <c r="B324" s="20">
        <v>15</v>
      </c>
      <c r="C324" s="21">
        <v>14238.42</v>
      </c>
      <c r="D324" s="18">
        <f t="shared" si="15"/>
        <v>14238.42</v>
      </c>
      <c r="E324" s="21">
        <f t="shared" si="16"/>
        <v>13526.499</v>
      </c>
      <c r="F324" s="18">
        <v>1</v>
      </c>
      <c r="G324" s="23" t="s">
        <v>588</v>
      </c>
      <c r="H324" s="22" t="s">
        <v>1058</v>
      </c>
      <c r="I324" s="22" t="s">
        <v>1029</v>
      </c>
      <c r="J324" s="22" t="s">
        <v>1301</v>
      </c>
      <c r="K324" s="11" t="s">
        <v>1467</v>
      </c>
      <c r="M324" s="17">
        <f>IFERROR(
IF(
$A324="","",
(VLOOKUP($G324,'nuevos productoss'!$A:$E,4,0))
),$C324)</f>
        <v>13857.388000000001</v>
      </c>
      <c r="N324" s="17">
        <f>IFERROR(
IF(
$A324="","",
(VLOOKUP($G324,'nuevos productoss'!$A:$E,5,0))
),$C324)</f>
        <v>11743.504000000001</v>
      </c>
      <c r="O324" s="17">
        <f t="shared" si="17"/>
        <v>2113.884</v>
      </c>
    </row>
    <row r="325" spans="1:15" x14ac:dyDescent="0.3">
      <c r="A325" s="5" t="s">
        <v>589</v>
      </c>
      <c r="B325" s="20">
        <v>15</v>
      </c>
      <c r="C325" s="21">
        <v>18802.77</v>
      </c>
      <c r="D325" s="18">
        <f t="shared" si="15"/>
        <v>18802.77</v>
      </c>
      <c r="E325" s="21">
        <f t="shared" si="16"/>
        <v>17862.6315</v>
      </c>
      <c r="F325" s="18">
        <v>1</v>
      </c>
      <c r="G325" s="23" t="s">
        <v>590</v>
      </c>
      <c r="H325" s="22" t="s">
        <v>1058</v>
      </c>
      <c r="I325" s="22" t="s">
        <v>1029</v>
      </c>
      <c r="J325" s="22" t="s">
        <v>1302</v>
      </c>
      <c r="K325" s="11" t="s">
        <v>1467</v>
      </c>
      <c r="M325" s="17">
        <f>IFERROR(
IF(
$A325="","",
(VLOOKUP($G325,'nuevos productoss'!$A:$E,4,0))
),$C325)</f>
        <v>18457.524000000001</v>
      </c>
      <c r="N325" s="17">
        <f>IFERROR(
IF(
$A325="","",
(VLOOKUP($G325,'nuevos productoss'!$A:$E,5,0))
),$C325)</f>
        <v>15641.972</v>
      </c>
      <c r="O325" s="17">
        <f t="shared" si="17"/>
        <v>2815.5520000000015</v>
      </c>
    </row>
    <row r="326" spans="1:15" x14ac:dyDescent="0.3">
      <c r="A326" s="5" t="s">
        <v>591</v>
      </c>
      <c r="B326" s="20">
        <v>15</v>
      </c>
      <c r="C326" s="21">
        <v>32743.514999999999</v>
      </c>
      <c r="D326" s="18">
        <f t="shared" si="15"/>
        <v>32743.514999999999</v>
      </c>
      <c r="E326" s="21">
        <f t="shared" si="16"/>
        <v>31106.339249999997</v>
      </c>
      <c r="F326" s="18">
        <v>1</v>
      </c>
      <c r="G326" s="23" t="s">
        <v>592</v>
      </c>
      <c r="H326" s="22" t="s">
        <v>1058</v>
      </c>
      <c r="I326" s="22" t="s">
        <v>1029</v>
      </c>
      <c r="J326" s="22" t="s">
        <v>1303</v>
      </c>
      <c r="K326" s="11" t="s">
        <v>1467</v>
      </c>
      <c r="M326" s="17">
        <f>IFERROR(
IF(
$A326="","",
(VLOOKUP($G326,'nuevos productoss'!$A:$E,4,0))
),$C326)</f>
        <v>32139.828000000001</v>
      </c>
      <c r="N326" s="17">
        <f>IFERROR(
IF(
$A326="","",
(VLOOKUP($G326,'nuevos productoss'!$A:$E,5,0))
),$C326)</f>
        <v>27237.18</v>
      </c>
      <c r="O326" s="17">
        <f t="shared" si="17"/>
        <v>4902.648000000001</v>
      </c>
    </row>
    <row r="327" spans="1:15" x14ac:dyDescent="0.3">
      <c r="A327" s="5" t="s">
        <v>593</v>
      </c>
      <c r="B327" s="20">
        <v>15</v>
      </c>
      <c r="C327" s="21">
        <v>28472.723999999998</v>
      </c>
      <c r="D327" s="18">
        <f t="shared" si="15"/>
        <v>28472.723999999998</v>
      </c>
      <c r="E327" s="21">
        <f t="shared" si="16"/>
        <v>27049.087799999998</v>
      </c>
      <c r="F327" s="18">
        <v>1</v>
      </c>
      <c r="G327" s="23" t="s">
        <v>594</v>
      </c>
      <c r="H327" s="22" t="s">
        <v>1058</v>
      </c>
      <c r="I327" s="22" t="s">
        <v>1029</v>
      </c>
      <c r="J327" s="22" t="s">
        <v>1304</v>
      </c>
      <c r="K327" s="11" t="s">
        <v>1467</v>
      </c>
      <c r="M327" s="17">
        <f>IFERROR(
IF(
$A327="","",
(VLOOKUP($G327,'nuevos productoss'!$A:$E,4,0))
),$C327)</f>
        <v>27947.727999999999</v>
      </c>
      <c r="N327" s="17">
        <f>IFERROR(
IF(
$A327="","",
(VLOOKUP($G327,'nuevos productoss'!$A:$E,5,0))
),$C327)</f>
        <v>23684.44</v>
      </c>
      <c r="O327" s="17">
        <f t="shared" si="17"/>
        <v>4263.2880000000005</v>
      </c>
    </row>
    <row r="328" spans="1:15" x14ac:dyDescent="0.3">
      <c r="A328" s="5" t="s">
        <v>595</v>
      </c>
      <c r="B328" s="20">
        <v>90</v>
      </c>
      <c r="C328" s="21">
        <v>37822.364999999998</v>
      </c>
      <c r="D328" s="18">
        <f t="shared" si="15"/>
        <v>37822.364999999998</v>
      </c>
      <c r="E328" s="21">
        <f t="shared" si="16"/>
        <v>35931.246749999998</v>
      </c>
      <c r="F328" s="18">
        <v>1</v>
      </c>
      <c r="G328" s="23" t="s">
        <v>596</v>
      </c>
      <c r="H328" s="22" t="s">
        <v>1058</v>
      </c>
      <c r="I328" s="22" t="s">
        <v>1029</v>
      </c>
      <c r="J328" s="22" t="s">
        <v>1305</v>
      </c>
      <c r="K328" s="11" t="s">
        <v>1467</v>
      </c>
      <c r="M328" s="17">
        <f>IFERROR(
IF(
$A328="","",
(VLOOKUP($G328,'nuevos productoss'!$A:$E,4,0))
),$C328)</f>
        <v>37124.911999999997</v>
      </c>
      <c r="N328" s="17">
        <f>IFERROR(
IF(
$A328="","",
(VLOOKUP($G328,'nuevos productoss'!$A:$E,5,0))
),$C328)</f>
        <v>31461.84</v>
      </c>
      <c r="O328" s="17">
        <f t="shared" si="17"/>
        <v>5663.0719999999965</v>
      </c>
    </row>
    <row r="329" spans="1:15" x14ac:dyDescent="0.3">
      <c r="A329" s="5" t="s">
        <v>597</v>
      </c>
      <c r="B329" s="20">
        <v>360</v>
      </c>
      <c r="C329" s="21">
        <v>463809.402</v>
      </c>
      <c r="D329" s="18">
        <f t="shared" si="15"/>
        <v>463809.402</v>
      </c>
      <c r="E329" s="21">
        <f t="shared" si="16"/>
        <v>440618.93189999997</v>
      </c>
      <c r="F329" s="18">
        <v>1</v>
      </c>
      <c r="G329" s="23" t="s">
        <v>598</v>
      </c>
      <c r="H329" s="22" t="s">
        <v>1058</v>
      </c>
      <c r="I329" s="22" t="s">
        <v>1065</v>
      </c>
      <c r="J329" s="22" t="s">
        <v>1306</v>
      </c>
      <c r="K329" s="11" t="s">
        <v>1467</v>
      </c>
      <c r="M329" s="17">
        <f>IFERROR(
IF(
$A329="","",
(VLOOKUP($G329,'nuevos productoss'!$A:$E,4,0))
),$C329)</f>
        <v>432140.16800000001</v>
      </c>
      <c r="N329" s="17">
        <f>IFERROR(
IF(
$A329="","",
(VLOOKUP($G329,'nuevos productoss'!$A:$E,5,0))
),$C329)</f>
        <v>366220.37599999999</v>
      </c>
      <c r="O329" s="17">
        <f t="shared" si="17"/>
        <v>65919.792000000016</v>
      </c>
    </row>
    <row r="330" spans="1:15" x14ac:dyDescent="0.3">
      <c r="A330" s="5" t="s">
        <v>599</v>
      </c>
      <c r="B330" s="20">
        <v>360</v>
      </c>
      <c r="C330" s="21">
        <v>533804.92200000002</v>
      </c>
      <c r="D330" s="18">
        <f t="shared" si="15"/>
        <v>533804.92200000002</v>
      </c>
      <c r="E330" s="21">
        <f t="shared" si="16"/>
        <v>507114.67589999997</v>
      </c>
      <c r="F330" s="18">
        <v>1</v>
      </c>
      <c r="G330" s="23" t="s">
        <v>600</v>
      </c>
      <c r="H330" s="22" t="s">
        <v>1058</v>
      </c>
      <c r="I330" s="22" t="s">
        <v>1065</v>
      </c>
      <c r="J330" s="22" t="s">
        <v>1307</v>
      </c>
      <c r="K330" s="11" t="s">
        <v>1467</v>
      </c>
      <c r="M330" s="17">
        <f>IFERROR(
IF(
$A330="","",
(VLOOKUP($G330,'nuevos productoss'!$A:$E,4,0))
),$C330)</f>
        <v>508472.5</v>
      </c>
      <c r="N330" s="17">
        <f>IFERROR(
IF(
$A330="","",
(VLOOKUP($G330,'nuevos productoss'!$A:$E,5,0))
),$C330)</f>
        <v>430908.95600000001</v>
      </c>
      <c r="O330" s="17">
        <f t="shared" si="17"/>
        <v>77563.543999999994</v>
      </c>
    </row>
    <row r="331" spans="1:15" x14ac:dyDescent="0.3">
      <c r="A331" s="5" t="s">
        <v>601</v>
      </c>
      <c r="B331" s="20">
        <v>360</v>
      </c>
      <c r="C331" s="21">
        <v>798064.91099999996</v>
      </c>
      <c r="D331" s="18">
        <f t="shared" si="15"/>
        <v>798064.91099999996</v>
      </c>
      <c r="E331" s="21">
        <f t="shared" si="16"/>
        <v>758161.66544999997</v>
      </c>
      <c r="F331" s="18">
        <v>1</v>
      </c>
      <c r="G331" s="23" t="s">
        <v>602</v>
      </c>
      <c r="H331" s="22" t="s">
        <v>1058</v>
      </c>
      <c r="I331" s="22" t="s">
        <v>1065</v>
      </c>
      <c r="J331" s="22" t="s">
        <v>1308</v>
      </c>
      <c r="K331" s="11" t="s">
        <v>1467</v>
      </c>
      <c r="M331" s="17">
        <f>IFERROR(
IF(
$A331="","",
(VLOOKUP($G331,'nuevos productoss'!$A:$E,4,0))
),$C331)</f>
        <v>783462.86399999994</v>
      </c>
      <c r="N331" s="17">
        <f>IFERROR(
IF(
$A331="","",
(VLOOKUP($G331,'nuevos productoss'!$A:$E,5,0))
),$C331)</f>
        <v>663951.53200000001</v>
      </c>
      <c r="O331" s="17">
        <f t="shared" si="17"/>
        <v>119511.33199999994</v>
      </c>
    </row>
    <row r="332" spans="1:15" x14ac:dyDescent="0.3">
      <c r="A332" s="5" t="s">
        <v>603</v>
      </c>
      <c r="B332" s="20">
        <v>360</v>
      </c>
      <c r="C332" s="21">
        <v>549246.09600000002</v>
      </c>
      <c r="D332" s="18">
        <f t="shared" si="15"/>
        <v>549246.09600000002</v>
      </c>
      <c r="E332" s="21">
        <f t="shared" si="16"/>
        <v>521783.79119999998</v>
      </c>
      <c r="F332" s="18">
        <v>1</v>
      </c>
      <c r="G332" s="23" t="s">
        <v>604</v>
      </c>
      <c r="H332" s="22" t="s">
        <v>1058</v>
      </c>
      <c r="I332" s="22" t="s">
        <v>1065</v>
      </c>
      <c r="J332" s="22" t="s">
        <v>1309</v>
      </c>
      <c r="K332" s="11" t="s">
        <v>1467</v>
      </c>
      <c r="M332" s="17">
        <f>IFERROR(
IF(
$A332="","",
(VLOOKUP($G332,'nuevos productoss'!$A:$E,4,0))
),$C332)</f>
        <v>539196.56000000006</v>
      </c>
      <c r="N332" s="17">
        <f>IFERROR(
IF(
$A332="","",
(VLOOKUP($G332,'nuevos productoss'!$A:$E,5,0))
),$C332)</f>
        <v>456946.3</v>
      </c>
      <c r="O332" s="17">
        <f t="shared" si="17"/>
        <v>82250.260000000068</v>
      </c>
    </row>
    <row r="333" spans="1:15" x14ac:dyDescent="0.3">
      <c r="A333" s="5" t="s">
        <v>605</v>
      </c>
      <c r="B333" s="20">
        <v>360</v>
      </c>
      <c r="C333" s="21">
        <v>891711.40800000005</v>
      </c>
      <c r="D333" s="18">
        <f t="shared" si="15"/>
        <v>891711.40800000005</v>
      </c>
      <c r="E333" s="21">
        <f t="shared" si="16"/>
        <v>847125.83759999997</v>
      </c>
      <c r="F333" s="18">
        <v>1</v>
      </c>
      <c r="G333" s="23" t="s">
        <v>606</v>
      </c>
      <c r="H333" s="22" t="s">
        <v>1058</v>
      </c>
      <c r="I333" s="22" t="s">
        <v>1065</v>
      </c>
      <c r="J333" s="22" t="s">
        <v>1310</v>
      </c>
      <c r="K333" s="11" t="s">
        <v>1467</v>
      </c>
      <c r="M333" s="17">
        <f>IFERROR(
IF(
$A333="","",
(VLOOKUP($G333,'nuevos productoss'!$A:$E,4,0))
),$C333)</f>
        <v>875395.87600000005</v>
      </c>
      <c r="N333" s="17">
        <f>IFERROR(
IF(
$A333="","",
(VLOOKUP($G333,'nuevos productoss'!$A:$E,5,0))
),$C333)</f>
        <v>741860.95200000005</v>
      </c>
      <c r="O333" s="17">
        <f t="shared" si="17"/>
        <v>133534.924</v>
      </c>
    </row>
    <row r="334" spans="1:15" x14ac:dyDescent="0.3">
      <c r="A334" s="5" t="s">
        <v>607</v>
      </c>
      <c r="B334" s="20">
        <v>360</v>
      </c>
      <c r="C334" s="21">
        <v>495254.17200000002</v>
      </c>
      <c r="D334" s="18">
        <f t="shared" si="15"/>
        <v>495254.17200000002</v>
      </c>
      <c r="E334" s="21">
        <f t="shared" si="16"/>
        <v>470491.46340000001</v>
      </c>
      <c r="F334" s="18">
        <v>1</v>
      </c>
      <c r="G334" s="23" t="s">
        <v>608</v>
      </c>
      <c r="H334" s="22" t="s">
        <v>1058</v>
      </c>
      <c r="I334" s="22" t="s">
        <v>1065</v>
      </c>
      <c r="J334" s="22" t="s">
        <v>1311</v>
      </c>
      <c r="K334" s="11" t="s">
        <v>1467</v>
      </c>
      <c r="M334" s="17">
        <f>IFERROR(
IF(
$A334="","",
(VLOOKUP($G334,'nuevos productoss'!$A:$E,4,0))
),$C334)</f>
        <v>486157.652</v>
      </c>
      <c r="N334" s="17">
        <f>IFERROR(
IF(
$A334="","",
(VLOOKUP($G334,'nuevos productoss'!$A:$E,5,0))
),$C334)</f>
        <v>411997.96</v>
      </c>
      <c r="O334" s="17">
        <f t="shared" si="17"/>
        <v>74159.691999999981</v>
      </c>
    </row>
    <row r="335" spans="1:15" x14ac:dyDescent="0.3">
      <c r="A335" s="5" t="s">
        <v>609</v>
      </c>
      <c r="B335" s="20">
        <v>360</v>
      </c>
      <c r="C335" s="21">
        <v>529319.21699999995</v>
      </c>
      <c r="D335" s="18">
        <f t="shared" si="15"/>
        <v>529319.21699999995</v>
      </c>
      <c r="E335" s="21">
        <f t="shared" si="16"/>
        <v>502853.25614999991</v>
      </c>
      <c r="F335" s="18">
        <v>1</v>
      </c>
      <c r="G335" s="23" t="s">
        <v>610</v>
      </c>
      <c r="H335" s="22" t="s">
        <v>1058</v>
      </c>
      <c r="I335" s="22" t="s">
        <v>1065</v>
      </c>
      <c r="J335" s="22" t="s">
        <v>1312</v>
      </c>
      <c r="K335" s="11" t="s">
        <v>1467</v>
      </c>
      <c r="M335" s="17">
        <f>IFERROR(
IF(
$A335="","",
(VLOOKUP($G335,'nuevos productoss'!$A:$E,4,0))
),$C335)</f>
        <v>519597.06800000003</v>
      </c>
      <c r="N335" s="17">
        <f>IFERROR(
IF(
$A335="","",
(VLOOKUP($G335,'nuevos productoss'!$A:$E,5,0))
),$C335)</f>
        <v>440336.408</v>
      </c>
      <c r="O335" s="17">
        <f t="shared" si="17"/>
        <v>79260.660000000033</v>
      </c>
    </row>
    <row r="336" spans="1:15" x14ac:dyDescent="0.3">
      <c r="A336" s="5" t="s">
        <v>611</v>
      </c>
      <c r="B336" s="20">
        <v>360</v>
      </c>
      <c r="C336" s="21">
        <v>894510.72900000005</v>
      </c>
      <c r="D336" s="18">
        <f t="shared" si="15"/>
        <v>894510.72900000005</v>
      </c>
      <c r="E336" s="21">
        <f t="shared" si="16"/>
        <v>849785.19255000004</v>
      </c>
      <c r="F336" s="18">
        <v>1</v>
      </c>
      <c r="G336" s="23" t="s">
        <v>612</v>
      </c>
      <c r="H336" s="22" t="s">
        <v>1053</v>
      </c>
      <c r="I336" s="22" t="s">
        <v>1054</v>
      </c>
      <c r="J336" s="22" t="s">
        <v>1313</v>
      </c>
      <c r="K336" s="11" t="s">
        <v>1467</v>
      </c>
      <c r="M336" s="17">
        <f>IFERROR(
IF(
$A336="","",
(VLOOKUP($G336,'nuevos productoss'!$A:$E,4,0))
),$C336)</f>
        <v>893027.85600000003</v>
      </c>
      <c r="N336" s="17">
        <f>IFERROR(
IF(
$A336="","",
(VLOOKUP($G336,'nuevos productoss'!$A:$E,5,0))
),$C336)</f>
        <v>797346.3</v>
      </c>
      <c r="O336" s="17">
        <f t="shared" si="17"/>
        <v>95681.555999999982</v>
      </c>
    </row>
    <row r="337" spans="1:15" x14ac:dyDescent="0.3">
      <c r="A337" s="5" t="s">
        <v>613</v>
      </c>
      <c r="B337" s="20">
        <v>360</v>
      </c>
      <c r="C337" s="21">
        <v>872428.38899999997</v>
      </c>
      <c r="D337" s="18">
        <f t="shared" si="15"/>
        <v>872428.38899999997</v>
      </c>
      <c r="E337" s="21">
        <f t="shared" si="16"/>
        <v>828806.96954999992</v>
      </c>
      <c r="F337" s="18">
        <v>1</v>
      </c>
      <c r="G337" s="23" t="s">
        <v>614</v>
      </c>
      <c r="H337" s="22" t="s">
        <v>1053</v>
      </c>
      <c r="I337" s="22" t="s">
        <v>1054</v>
      </c>
      <c r="J337" s="22" t="s">
        <v>1314</v>
      </c>
      <c r="K337" s="11" t="s">
        <v>1467</v>
      </c>
      <c r="M337" s="17">
        <f>IFERROR(
IF(
$A337="","",
(VLOOKUP($G337,'nuevos productoss'!$A:$E,4,0))
),$C337)</f>
        <v>870982.07200000004</v>
      </c>
      <c r="N337" s="17">
        <f>IFERROR(
IF(
$A337="","",
(VLOOKUP($G337,'nuevos productoss'!$A:$E,5,0))
),$C337)</f>
        <v>777662.59600000002</v>
      </c>
      <c r="O337" s="17">
        <f t="shared" si="17"/>
        <v>93319.476000000024</v>
      </c>
    </row>
    <row r="338" spans="1:15" x14ac:dyDescent="0.3">
      <c r="A338" s="5" t="s">
        <v>615</v>
      </c>
      <c r="B338" s="20">
        <v>360</v>
      </c>
      <c r="C338" s="21">
        <v>999828.29099999997</v>
      </c>
      <c r="D338" s="18">
        <f t="shared" si="15"/>
        <v>999828.29099999997</v>
      </c>
      <c r="E338" s="21">
        <f t="shared" si="16"/>
        <v>949836.87644999998</v>
      </c>
      <c r="F338" s="18">
        <v>1</v>
      </c>
      <c r="G338" s="23" t="s">
        <v>616</v>
      </c>
      <c r="H338" s="22" t="s">
        <v>1053</v>
      </c>
      <c r="I338" s="22" t="s">
        <v>1054</v>
      </c>
      <c r="J338" s="22" t="s">
        <v>1315</v>
      </c>
      <c r="K338" s="11" t="s">
        <v>1467</v>
      </c>
      <c r="M338" s="17">
        <f>IFERROR(
IF(
$A338="","",
(VLOOKUP($G338,'nuevos productoss'!$A:$E,4,0))
),$C338)</f>
        <v>998241.20400000003</v>
      </c>
      <c r="N338" s="17">
        <f>IFERROR(
IF(
$A338="","",
(VLOOKUP($G338,'nuevos productoss'!$A:$E,5,0))
),$C338)</f>
        <v>891286.78399999999</v>
      </c>
      <c r="O338" s="17">
        <f t="shared" si="17"/>
        <v>106954.42000000004</v>
      </c>
    </row>
    <row r="339" spans="1:15" x14ac:dyDescent="0.3">
      <c r="B339" s="20"/>
      <c r="C339" s="21"/>
      <c r="D339" s="18">
        <f t="shared" si="15"/>
        <v>0</v>
      </c>
      <c r="E339" s="21" t="str">
        <f t="shared" si="16"/>
        <v/>
      </c>
      <c r="F339" s="18"/>
      <c r="G339" s="5"/>
      <c r="H339" s="22" t="s">
        <v>1865</v>
      </c>
      <c r="I339" s="22" t="s">
        <v>1865</v>
      </c>
      <c r="J339" s="22" t="s">
        <v>1865</v>
      </c>
      <c r="K339" s="11" t="s">
        <v>1467</v>
      </c>
      <c r="M339" s="17" t="str">
        <f>IFERROR(
IF(
$A339="","",
(VLOOKUP($G339,'nuevos productoss'!$A:$E,4,0))
),$C339)</f>
        <v/>
      </c>
      <c r="N339" s="17" t="str">
        <f>IFERROR(
IF(
$A339="","",
(VLOOKUP($G339,'nuevos productoss'!$A:$E,5,0))
),$C339)</f>
        <v/>
      </c>
      <c r="O339" s="17">
        <f t="shared" si="17"/>
        <v>0</v>
      </c>
    </row>
    <row r="340" spans="1:15" x14ac:dyDescent="0.3">
      <c r="B340" s="20"/>
      <c r="C340" s="21"/>
      <c r="D340" s="18">
        <f t="shared" si="15"/>
        <v>0</v>
      </c>
      <c r="E340" s="21" t="str">
        <f t="shared" si="16"/>
        <v/>
      </c>
      <c r="F340" s="18"/>
      <c r="G340" s="5"/>
      <c r="H340" s="22" t="s">
        <v>1865</v>
      </c>
      <c r="I340" s="22" t="s">
        <v>1865</v>
      </c>
      <c r="J340" s="22" t="s">
        <v>1865</v>
      </c>
      <c r="K340" s="11" t="s">
        <v>1467</v>
      </c>
      <c r="M340" s="17" t="str">
        <f>IFERROR(
IF(
$A340="","",
(VLOOKUP($G340,'nuevos productoss'!$A:$E,4,0))
),$C340)</f>
        <v/>
      </c>
      <c r="N340" s="17" t="str">
        <f>IFERROR(
IF(
$A340="","",
(VLOOKUP($G340,'nuevos productoss'!$A:$E,5,0))
),$C340)</f>
        <v/>
      </c>
      <c r="O340" s="17">
        <f t="shared" si="17"/>
        <v>0</v>
      </c>
    </row>
    <row r="341" spans="1:15" x14ac:dyDescent="0.3">
      <c r="A341" s="5" t="s">
        <v>617</v>
      </c>
      <c r="B341" s="20">
        <v>360</v>
      </c>
      <c r="C341" s="21">
        <v>587389.80299999996</v>
      </c>
      <c r="D341" s="18">
        <f t="shared" si="15"/>
        <v>587389.80299999996</v>
      </c>
      <c r="E341" s="21">
        <f t="shared" si="16"/>
        <v>558020.31284999999</v>
      </c>
      <c r="F341" s="18">
        <v>1</v>
      </c>
      <c r="G341" s="23" t="s">
        <v>618</v>
      </c>
      <c r="H341" s="22" t="s">
        <v>1053</v>
      </c>
      <c r="I341" s="22" t="s">
        <v>1054</v>
      </c>
      <c r="J341" s="22" t="s">
        <v>1316</v>
      </c>
      <c r="K341" s="11" t="s">
        <v>1467</v>
      </c>
      <c r="M341" s="17">
        <f>IFERROR(
IF(
$A341="","",
(VLOOKUP($G341,'nuevos productoss'!$A:$E,4,0))
),$C341)</f>
        <v>586415.96</v>
      </c>
      <c r="N341" s="17">
        <f>IFERROR(
IF(
$A341="","",
(VLOOKUP($G341,'nuevos productoss'!$A:$E,5,0))
),$C341)</f>
        <v>523585.66800000001</v>
      </c>
      <c r="O341" s="17">
        <f t="shared" si="17"/>
        <v>62830.291999999958</v>
      </c>
    </row>
    <row r="342" spans="1:15" x14ac:dyDescent="0.3">
      <c r="A342" s="5" t="s">
        <v>619</v>
      </c>
      <c r="B342" s="20">
        <v>360</v>
      </c>
      <c r="C342" s="21">
        <v>700696.22699999996</v>
      </c>
      <c r="D342" s="18">
        <f t="shared" si="15"/>
        <v>700696.22699999996</v>
      </c>
      <c r="E342" s="21">
        <f t="shared" si="16"/>
        <v>665661.41564999998</v>
      </c>
      <c r="F342" s="18">
        <v>1</v>
      </c>
      <c r="G342" s="23" t="s">
        <v>620</v>
      </c>
      <c r="H342" s="22" t="s">
        <v>1053</v>
      </c>
      <c r="I342" s="22" t="s">
        <v>1054</v>
      </c>
      <c r="J342" s="22" t="s">
        <v>1317</v>
      </c>
      <c r="K342" s="11" t="s">
        <v>1467</v>
      </c>
      <c r="M342" s="17">
        <f>IFERROR(
IF(
$A342="","",
(VLOOKUP($G342,'nuevos productoss'!$A:$E,4,0))
),$C342)</f>
        <v>710413.76399999997</v>
      </c>
      <c r="N342" s="17">
        <f>IFERROR(
IF(
$A342="","",
(VLOOKUP($G342,'nuevos productoss'!$A:$E,5,0))
),$C342)</f>
        <v>634298.10400000005</v>
      </c>
      <c r="O342" s="17">
        <f t="shared" si="17"/>
        <v>76115.659999999916</v>
      </c>
    </row>
    <row r="343" spans="1:15" x14ac:dyDescent="0.3">
      <c r="A343" s="5" t="s">
        <v>621</v>
      </c>
      <c r="B343" s="20">
        <v>360</v>
      </c>
      <c r="C343" s="21">
        <v>748590.73800000001</v>
      </c>
      <c r="D343" s="18">
        <f t="shared" si="15"/>
        <v>748590.73800000001</v>
      </c>
      <c r="E343" s="21">
        <f t="shared" si="16"/>
        <v>711161.20109999995</v>
      </c>
      <c r="F343" s="18">
        <v>1</v>
      </c>
      <c r="G343" s="23" t="s">
        <v>622</v>
      </c>
      <c r="H343" s="22" t="s">
        <v>1053</v>
      </c>
      <c r="I343" s="22" t="s">
        <v>1054</v>
      </c>
      <c r="J343" s="22" t="s">
        <v>1318</v>
      </c>
      <c r="K343" s="11" t="s">
        <v>1467</v>
      </c>
      <c r="M343" s="17">
        <f>IFERROR(
IF(
$A343="","",
(VLOOKUP($G343,'nuevos productoss'!$A:$E,4,0))
),$C343)</f>
        <v>954579.42799999996</v>
      </c>
      <c r="N343" s="17">
        <f>IFERROR(
IF(
$A343="","",
(VLOOKUP($G343,'nuevos productoss'!$A:$E,5,0))
),$C343)</f>
        <v>852303.14</v>
      </c>
      <c r="O343" s="17">
        <f t="shared" si="17"/>
        <v>102276.28799999994</v>
      </c>
    </row>
    <row r="344" spans="1:15" x14ac:dyDescent="0.3">
      <c r="A344" s="5" t="s">
        <v>623</v>
      </c>
      <c r="B344" s="20">
        <v>360</v>
      </c>
      <c r="C344" s="21">
        <v>1079825.6910000001</v>
      </c>
      <c r="D344" s="18">
        <f t="shared" si="15"/>
        <v>1079825.6910000001</v>
      </c>
      <c r="E344" s="21">
        <f t="shared" si="16"/>
        <v>1025834.40645</v>
      </c>
      <c r="F344" s="18">
        <v>1</v>
      </c>
      <c r="G344" s="23" t="s">
        <v>624</v>
      </c>
      <c r="H344" s="22" t="s">
        <v>1053</v>
      </c>
      <c r="I344" s="22" t="s">
        <v>1054</v>
      </c>
      <c r="J344" s="22" t="s">
        <v>1317</v>
      </c>
      <c r="K344" s="11" t="s">
        <v>1467</v>
      </c>
      <c r="M344" s="17">
        <f>IFERROR(
IF(
$A344="","",
(VLOOKUP($G344,'nuevos productoss'!$A:$E,4,0))
),$C344)</f>
        <v>1078035.5519999999</v>
      </c>
      <c r="N344" s="17">
        <f>IFERROR(
IF(
$A344="","",
(VLOOKUP($G344,'nuevos productoss'!$A:$E,5,0))
),$C344)</f>
        <v>962531.61600000004</v>
      </c>
      <c r="O344" s="17">
        <f t="shared" si="17"/>
        <v>115503.93599999987</v>
      </c>
    </row>
    <row r="345" spans="1:15" x14ac:dyDescent="0.3">
      <c r="B345" s="20"/>
      <c r="C345" s="21"/>
      <c r="D345" s="18">
        <f t="shared" si="15"/>
        <v>0</v>
      </c>
      <c r="E345" s="21" t="str">
        <f t="shared" si="16"/>
        <v/>
      </c>
      <c r="F345" s="18"/>
      <c r="G345" s="5"/>
      <c r="H345" s="22" t="s">
        <v>1865</v>
      </c>
      <c r="I345" s="22" t="s">
        <v>1865</v>
      </c>
      <c r="J345" s="22" t="s">
        <v>1865</v>
      </c>
      <c r="K345" s="11" t="s">
        <v>1467</v>
      </c>
      <c r="M345" s="17" t="str">
        <f>IFERROR(
IF(
$A345="","",
(VLOOKUP($G345,'nuevos productoss'!$A:$E,4,0))
),$C345)</f>
        <v/>
      </c>
      <c r="N345" s="17" t="str">
        <f>IFERROR(
IF(
$A345="","",
(VLOOKUP($G345,'nuevos productoss'!$A:$E,5,0))
),$C345)</f>
        <v/>
      </c>
      <c r="O345" s="17">
        <f t="shared" si="17"/>
        <v>0</v>
      </c>
    </row>
    <row r="346" spans="1:15" x14ac:dyDescent="0.3">
      <c r="A346" s="5" t="s">
        <v>625</v>
      </c>
      <c r="B346" s="20">
        <v>720</v>
      </c>
      <c r="C346" s="21">
        <v>737549.56799999997</v>
      </c>
      <c r="D346" s="18">
        <f t="shared" si="15"/>
        <v>737549.56799999997</v>
      </c>
      <c r="E346" s="21">
        <f t="shared" si="16"/>
        <v>700672.08959999995</v>
      </c>
      <c r="F346" s="18">
        <v>1</v>
      </c>
      <c r="G346" s="23" t="s">
        <v>626</v>
      </c>
      <c r="H346" s="22" t="s">
        <v>1053</v>
      </c>
      <c r="I346" s="22" t="s">
        <v>1054</v>
      </c>
      <c r="J346" s="22" t="s">
        <v>1319</v>
      </c>
      <c r="K346" s="11" t="s">
        <v>1467</v>
      </c>
      <c r="M346" s="17">
        <f>IFERROR(
IF(
$A346="","",
(VLOOKUP($G346,'nuevos productoss'!$A:$E,4,0))
),$C346)</f>
        <v>736326.93599999999</v>
      </c>
      <c r="N346" s="17">
        <f>IFERROR(
IF(
$A346="","",
(VLOOKUP($G346,'nuevos productoss'!$A:$E,5,0))
),$C346)</f>
        <v>657434.79599999997</v>
      </c>
      <c r="O346" s="17">
        <f t="shared" si="17"/>
        <v>78892.140000000014</v>
      </c>
    </row>
    <row r="347" spans="1:15" x14ac:dyDescent="0.3">
      <c r="A347" s="5" t="s">
        <v>627</v>
      </c>
      <c r="B347" s="20">
        <v>720</v>
      </c>
      <c r="C347" s="21">
        <v>505685.14500000002</v>
      </c>
      <c r="D347" s="18">
        <f t="shared" si="15"/>
        <v>505685.14500000002</v>
      </c>
      <c r="E347" s="21">
        <f t="shared" si="16"/>
        <v>480400.88774999999</v>
      </c>
      <c r="F347" s="18">
        <v>1</v>
      </c>
      <c r="G347" s="23" t="s">
        <v>628</v>
      </c>
      <c r="H347" s="22" t="s">
        <v>1053</v>
      </c>
      <c r="I347" s="22" t="s">
        <v>1054</v>
      </c>
      <c r="J347" s="22">
        <v>0</v>
      </c>
      <c r="K347" s="11" t="s">
        <v>1467</v>
      </c>
      <c r="M347" s="17">
        <f>IFERROR(
IF(
$A347="","",
(VLOOKUP($G347,'nuevos productoss'!$A:$E,4,0))
),$C347)</f>
        <v>505685.14500000002</v>
      </c>
      <c r="N347" s="17">
        <f>IFERROR(
IF(
$A347="","",
(VLOOKUP($G347,'nuevos productoss'!$A:$E,5,0))
),$C347)</f>
        <v>505685.14500000002</v>
      </c>
      <c r="O347" s="17">
        <f t="shared" si="17"/>
        <v>0</v>
      </c>
    </row>
    <row r="348" spans="1:15" x14ac:dyDescent="0.3">
      <c r="A348" s="5" t="s">
        <v>629</v>
      </c>
      <c r="B348" s="20">
        <v>720</v>
      </c>
      <c r="C348" s="21">
        <v>859002.43799999997</v>
      </c>
      <c r="D348" s="18">
        <f t="shared" si="15"/>
        <v>859002.43799999997</v>
      </c>
      <c r="E348" s="21">
        <f t="shared" si="16"/>
        <v>816052.31609999994</v>
      </c>
      <c r="F348" s="18">
        <v>1</v>
      </c>
      <c r="G348" s="23" t="s">
        <v>630</v>
      </c>
      <c r="H348" s="22" t="s">
        <v>1053</v>
      </c>
      <c r="I348" s="22" t="s">
        <v>1054</v>
      </c>
      <c r="J348" s="22" t="s">
        <v>1320</v>
      </c>
      <c r="K348" s="11" t="s">
        <v>1467</v>
      </c>
      <c r="M348" s="17">
        <f>IFERROR(
IF(
$A348="","",
(VLOOKUP($G348,'nuevos productoss'!$A:$E,4,0))
),$C348)</f>
        <v>857578.304</v>
      </c>
      <c r="N348" s="17">
        <f>IFERROR(
IF(
$A348="","",
(VLOOKUP($G348,'nuevos productoss'!$A:$E,5,0))
),$C348)</f>
        <v>765694.87199999997</v>
      </c>
      <c r="O348" s="17">
        <f t="shared" si="17"/>
        <v>91883.43200000003</v>
      </c>
    </row>
    <row r="349" spans="1:15" x14ac:dyDescent="0.3">
      <c r="A349" s="5" t="s">
        <v>631</v>
      </c>
      <c r="B349" s="20">
        <v>720</v>
      </c>
      <c r="C349" s="21">
        <v>739757.80200000003</v>
      </c>
      <c r="D349" s="18">
        <f t="shared" si="15"/>
        <v>739757.80200000003</v>
      </c>
      <c r="E349" s="21">
        <f t="shared" si="16"/>
        <v>702769.91189999995</v>
      </c>
      <c r="F349" s="18">
        <v>1</v>
      </c>
      <c r="G349" s="23" t="s">
        <v>632</v>
      </c>
      <c r="H349" s="22" t="s">
        <v>1053</v>
      </c>
      <c r="I349" s="22" t="s">
        <v>1054</v>
      </c>
      <c r="J349" s="22">
        <v>0</v>
      </c>
      <c r="K349" s="11" t="s">
        <v>1467</v>
      </c>
      <c r="M349" s="17">
        <f>IFERROR(
IF(
$A349="","",
(VLOOKUP($G349,'nuevos productoss'!$A:$E,4,0))
),$C349)</f>
        <v>738531.39599999995</v>
      </c>
      <c r="N349" s="17">
        <f>IFERROR(
IF(
$A349="","",
(VLOOKUP($G349,'nuevos productoss'!$A:$E,5,0))
),$C349)</f>
        <v>659403.04799999995</v>
      </c>
      <c r="O349" s="17">
        <f t="shared" si="17"/>
        <v>79128.347999999998</v>
      </c>
    </row>
    <row r="350" spans="1:15" x14ac:dyDescent="0.3">
      <c r="A350" s="5" t="s">
        <v>633</v>
      </c>
      <c r="B350" s="20">
        <v>720</v>
      </c>
      <c r="C350" s="21">
        <v>641315.28300000005</v>
      </c>
      <c r="D350" s="18">
        <f t="shared" si="15"/>
        <v>641315.28300000005</v>
      </c>
      <c r="E350" s="21">
        <f t="shared" si="16"/>
        <v>609249.51884999999</v>
      </c>
      <c r="F350" s="18">
        <v>1</v>
      </c>
      <c r="G350" s="23" t="s">
        <v>634</v>
      </c>
      <c r="H350" s="22" t="s">
        <v>1053</v>
      </c>
      <c r="I350" s="22" t="s">
        <v>1054</v>
      </c>
      <c r="J350" s="22" t="s">
        <v>1321</v>
      </c>
      <c r="K350" s="11" t="s">
        <v>1467</v>
      </c>
      <c r="M350" s="17">
        <f>IFERROR(
IF(
$A350="","",
(VLOOKUP($G350,'nuevos productoss'!$A:$E,4,0))
),$C350)</f>
        <v>635137.11600000004</v>
      </c>
      <c r="N350" s="17">
        <f>IFERROR(
IF(
$A350="","",
(VLOOKUP($G350,'nuevos productoss'!$A:$E,5,0))
),$C350)</f>
        <v>567086.71600000001</v>
      </c>
      <c r="O350" s="17">
        <f t="shared" si="17"/>
        <v>68050.400000000023</v>
      </c>
    </row>
    <row r="351" spans="1:15" x14ac:dyDescent="0.3">
      <c r="A351" s="5" t="s">
        <v>635</v>
      </c>
      <c r="B351" s="20">
        <v>720</v>
      </c>
      <c r="C351" s="21">
        <v>790767.978</v>
      </c>
      <c r="D351" s="18">
        <f t="shared" si="15"/>
        <v>790767.978</v>
      </c>
      <c r="E351" s="21">
        <f t="shared" si="16"/>
        <v>751229.57909999997</v>
      </c>
      <c r="F351" s="18">
        <v>1</v>
      </c>
      <c r="G351" s="23" t="s">
        <v>636</v>
      </c>
      <c r="H351" s="22" t="s">
        <v>1053</v>
      </c>
      <c r="I351" s="22" t="s">
        <v>1054</v>
      </c>
      <c r="J351" s="22" t="s">
        <v>1322</v>
      </c>
      <c r="K351" s="11" t="s">
        <v>1467</v>
      </c>
      <c r="M351" s="17">
        <f>IFERROR(
IF(
$A351="","",
(VLOOKUP($G351,'nuevos productoss'!$A:$E,4,0))
),$C351)</f>
        <v>670189.73199999996</v>
      </c>
      <c r="N351" s="17">
        <f>IFERROR(
IF(
$A351="","",
(VLOOKUP($G351,'nuevos productoss'!$A:$E,5,0))
),$C351)</f>
        <v>598383.68400000001</v>
      </c>
      <c r="O351" s="17">
        <f t="shared" si="17"/>
        <v>71806.047999999952</v>
      </c>
    </row>
    <row r="352" spans="1:15" x14ac:dyDescent="0.3">
      <c r="A352" s="5" t="s">
        <v>637</v>
      </c>
      <c r="B352" s="20">
        <v>720</v>
      </c>
      <c r="C352" s="21">
        <v>671302.69499999995</v>
      </c>
      <c r="D352" s="18">
        <f t="shared" si="15"/>
        <v>671302.69499999995</v>
      </c>
      <c r="E352" s="21">
        <f t="shared" si="16"/>
        <v>637737.56024999986</v>
      </c>
      <c r="F352" s="18">
        <v>1</v>
      </c>
      <c r="G352" s="23" t="s">
        <v>638</v>
      </c>
      <c r="H352" s="22" t="s">
        <v>1053</v>
      </c>
      <c r="I352" s="22" t="s">
        <v>1054</v>
      </c>
      <c r="J352" s="22" t="s">
        <v>1322</v>
      </c>
      <c r="K352" s="11" t="s">
        <v>1467</v>
      </c>
      <c r="M352" s="17">
        <f>IFERROR(
IF(
$A352="","",
(VLOOKUP($G352,'nuevos productoss'!$A:$E,4,0))
),$C352)</f>
        <v>802463.99199999997</v>
      </c>
      <c r="N352" s="17">
        <f>IFERROR(
IF(
$A352="","",
(VLOOKUP($G352,'nuevos productoss'!$A:$E,5,0))
),$C352)</f>
        <v>716485.76</v>
      </c>
      <c r="O352" s="17">
        <f t="shared" si="17"/>
        <v>85978.23199999996</v>
      </c>
    </row>
    <row r="353" spans="1:15" x14ac:dyDescent="0.3">
      <c r="A353" s="5" t="s">
        <v>639</v>
      </c>
      <c r="B353" s="20">
        <v>720</v>
      </c>
      <c r="C353" s="21">
        <v>781602.96900000004</v>
      </c>
      <c r="D353" s="18">
        <f t="shared" si="15"/>
        <v>781602.96900000004</v>
      </c>
      <c r="E353" s="21">
        <f t="shared" si="16"/>
        <v>742522.82055000006</v>
      </c>
      <c r="F353" s="18">
        <v>1</v>
      </c>
      <c r="G353" s="23" t="s">
        <v>640</v>
      </c>
      <c r="H353" s="22" t="s">
        <v>1053</v>
      </c>
      <c r="I353" s="22" t="s">
        <v>1054</v>
      </c>
      <c r="J353" s="22">
        <v>0</v>
      </c>
      <c r="K353" s="11" t="s">
        <v>1467</v>
      </c>
      <c r="M353" s="17">
        <f>IFERROR(
IF(
$A353="","",
(VLOOKUP($G353,'nuevos productoss'!$A:$E,4,0))
),$C353)</f>
        <v>781602.96900000004</v>
      </c>
      <c r="N353" s="17">
        <f>IFERROR(
IF(
$A353="","",
(VLOOKUP($G353,'nuevos productoss'!$A:$E,5,0))
),$C353)</f>
        <v>781602.96900000004</v>
      </c>
      <c r="O353" s="17">
        <f t="shared" si="17"/>
        <v>0</v>
      </c>
    </row>
    <row r="354" spans="1:15" x14ac:dyDescent="0.3">
      <c r="A354" s="5" t="s">
        <v>641</v>
      </c>
      <c r="B354" s="20">
        <v>720</v>
      </c>
      <c r="C354" s="21">
        <v>903166.97100000002</v>
      </c>
      <c r="D354" s="18">
        <f t="shared" si="15"/>
        <v>903166.97100000002</v>
      </c>
      <c r="E354" s="21">
        <f t="shared" si="16"/>
        <v>858008.62245000002</v>
      </c>
      <c r="F354" s="18">
        <v>1</v>
      </c>
      <c r="G354" s="23" t="s">
        <v>632</v>
      </c>
      <c r="H354" s="22" t="s">
        <v>1053</v>
      </c>
      <c r="I354" s="22" t="s">
        <v>1054</v>
      </c>
      <c r="J354" s="22">
        <v>0</v>
      </c>
      <c r="K354" s="11" t="s">
        <v>1467</v>
      </c>
      <c r="M354" s="17">
        <f>IFERROR(
IF(
$A354="","",
(VLOOKUP($G354,'nuevos productoss'!$A:$E,4,0))
),$C354)</f>
        <v>738531.39599999995</v>
      </c>
      <c r="N354" s="17">
        <f>IFERROR(
IF(
$A354="","",
(VLOOKUP($G354,'nuevos productoss'!$A:$E,5,0))
),$C354)</f>
        <v>659403.04799999995</v>
      </c>
      <c r="O354" s="17">
        <f t="shared" si="17"/>
        <v>79128.347999999998</v>
      </c>
    </row>
    <row r="355" spans="1:15" x14ac:dyDescent="0.3">
      <c r="A355" s="5" t="s">
        <v>642</v>
      </c>
      <c r="B355" s="20">
        <v>720</v>
      </c>
      <c r="C355" s="21">
        <v>967205.75699999998</v>
      </c>
      <c r="D355" s="18">
        <f t="shared" si="15"/>
        <v>967205.75699999998</v>
      </c>
      <c r="E355" s="21">
        <f t="shared" si="16"/>
        <v>918845.4691499999</v>
      </c>
      <c r="F355" s="18">
        <v>1</v>
      </c>
      <c r="G355" s="23" t="s">
        <v>643</v>
      </c>
      <c r="H355" s="22" t="s">
        <v>1053</v>
      </c>
      <c r="I355" s="22" t="s">
        <v>1054</v>
      </c>
      <c r="J355" s="22" t="s">
        <v>1323</v>
      </c>
      <c r="K355" s="11" t="s">
        <v>1467</v>
      </c>
      <c r="M355" s="17">
        <f>IFERROR(
IF(
$A355="","",
(VLOOKUP($G355,'nuevos productoss'!$A:$E,4,0))
),$C355)</f>
        <v>965602.32</v>
      </c>
      <c r="N355" s="17">
        <f>IFERROR(
IF(
$A355="","",
(VLOOKUP($G355,'nuevos productoss'!$A:$E,5,0))
),$C355)</f>
        <v>862144.99199999997</v>
      </c>
      <c r="O355" s="17">
        <f t="shared" si="17"/>
        <v>103457.32799999998</v>
      </c>
    </row>
    <row r="356" spans="1:15" x14ac:dyDescent="0.3">
      <c r="A356" s="5" t="s">
        <v>644</v>
      </c>
      <c r="B356" s="20">
        <v>720</v>
      </c>
      <c r="C356" s="21">
        <v>972016.62600000005</v>
      </c>
      <c r="D356" s="18">
        <f t="shared" si="15"/>
        <v>972016.62600000005</v>
      </c>
      <c r="E356" s="21">
        <f t="shared" si="16"/>
        <v>923415.79469999997</v>
      </c>
      <c r="F356" s="18">
        <v>1</v>
      </c>
      <c r="G356" s="23" t="s">
        <v>645</v>
      </c>
      <c r="H356" s="22" t="s">
        <v>1053</v>
      </c>
      <c r="I356" s="22" t="s">
        <v>1054</v>
      </c>
      <c r="J356" s="22" t="s">
        <v>1324</v>
      </c>
      <c r="K356" s="11" t="s">
        <v>1467</v>
      </c>
      <c r="M356" s="17">
        <f>IFERROR(
IF(
$A356="","",
(VLOOKUP($G356,'nuevos productoss'!$A:$E,4,0))
),$C356)</f>
        <v>970405.21600000001</v>
      </c>
      <c r="N356" s="17">
        <f>IFERROR(
IF(
$A356="","",
(VLOOKUP($G356,'nuevos productoss'!$A:$E,5,0))
),$C356)</f>
        <v>836556.23600000003</v>
      </c>
      <c r="O356" s="17">
        <f t="shared" si="17"/>
        <v>133848.97999999998</v>
      </c>
    </row>
    <row r="357" spans="1:15" x14ac:dyDescent="0.3">
      <c r="A357" s="5" t="s">
        <v>646</v>
      </c>
      <c r="B357" s="20">
        <v>720</v>
      </c>
      <c r="C357" s="21">
        <v>1653966.09</v>
      </c>
      <c r="D357" s="18">
        <f t="shared" si="15"/>
        <v>1653966.09</v>
      </c>
      <c r="E357" s="21">
        <f t="shared" si="16"/>
        <v>1571267.7855</v>
      </c>
      <c r="F357" s="18">
        <v>1</v>
      </c>
      <c r="G357" s="23" t="s">
        <v>647</v>
      </c>
      <c r="H357" s="22" t="s">
        <v>1053</v>
      </c>
      <c r="I357" s="22" t="s">
        <v>1054</v>
      </c>
      <c r="J357" s="22" t="s">
        <v>1325</v>
      </c>
      <c r="K357" s="11" t="s">
        <v>1467</v>
      </c>
      <c r="M357" s="17">
        <f>IFERROR(
IF(
$A357="","",
(VLOOKUP($G357,'nuevos productoss'!$A:$E,4,0))
),$C357)</f>
        <v>1651224.0120000001</v>
      </c>
      <c r="N357" s="17">
        <f>IFERROR(
IF(
$A357="","",
(VLOOKUP($G357,'nuevos productoss'!$A:$E,5,0))
),$C357)</f>
        <v>1474307.18</v>
      </c>
      <c r="O357" s="17">
        <f t="shared" si="17"/>
        <v>176916.83200000017</v>
      </c>
    </row>
    <row r="358" spans="1:15" x14ac:dyDescent="0.3">
      <c r="A358" s="5" t="s">
        <v>648</v>
      </c>
      <c r="B358" s="20">
        <v>720</v>
      </c>
      <c r="C358" s="21">
        <v>1941036.216</v>
      </c>
      <c r="D358" s="18">
        <f t="shared" si="15"/>
        <v>1941036.216</v>
      </c>
      <c r="E358" s="21">
        <f t="shared" si="16"/>
        <v>1843984.4051999999</v>
      </c>
      <c r="F358" s="18">
        <v>1</v>
      </c>
      <c r="G358" s="23" t="s">
        <v>649</v>
      </c>
      <c r="H358" s="22" t="s">
        <v>1053</v>
      </c>
      <c r="I358" s="22" t="s">
        <v>1054</v>
      </c>
      <c r="J358" s="22" t="s">
        <v>1325</v>
      </c>
      <c r="K358" s="11" t="s">
        <v>1467</v>
      </c>
      <c r="M358" s="17">
        <f>IFERROR(
IF(
$A358="","",
(VLOOKUP($G358,'nuevos productoss'!$A:$E,4,0))
),$C358)</f>
        <v>1937818.3160000001</v>
      </c>
      <c r="N358" s="17">
        <f>IFERROR(
IF(
$A358="","",
(VLOOKUP($G358,'nuevos productoss'!$A:$E,5,0))
),$C358)</f>
        <v>1730195.0360000001</v>
      </c>
      <c r="O358" s="17">
        <f t="shared" si="17"/>
        <v>207623.28000000003</v>
      </c>
    </row>
    <row r="359" spans="1:15" x14ac:dyDescent="0.3">
      <c r="A359" s="5" t="s">
        <v>650</v>
      </c>
      <c r="B359" s="20">
        <v>360</v>
      </c>
      <c r="C359" s="21">
        <v>817845.37800000003</v>
      </c>
      <c r="D359" s="18">
        <f t="shared" si="15"/>
        <v>817845.37800000003</v>
      </c>
      <c r="E359" s="21">
        <f t="shared" si="16"/>
        <v>776953.1091</v>
      </c>
      <c r="F359" s="18">
        <v>1</v>
      </c>
      <c r="G359" s="23" t="s">
        <v>651</v>
      </c>
      <c r="H359" s="22" t="s">
        <v>1053</v>
      </c>
      <c r="I359" s="22" t="s">
        <v>1054</v>
      </c>
      <c r="J359" s="22" t="s">
        <v>1326</v>
      </c>
      <c r="K359" s="11" t="s">
        <v>1467</v>
      </c>
      <c r="M359" s="17">
        <f>IFERROR(
IF(
$A359="","",
(VLOOKUP($G359,'nuevos productoss'!$A:$E,4,0))
),$C359)</f>
        <v>744307.39199999999</v>
      </c>
      <c r="N359" s="17">
        <f>IFERROR(
IF(
$A359="","",
(VLOOKUP($G359,'nuevos productoss'!$A:$E,5,0))
),$C359)</f>
        <v>664560.25600000005</v>
      </c>
      <c r="O359" s="17">
        <f t="shared" si="17"/>
        <v>79747.13599999994</v>
      </c>
    </row>
    <row r="360" spans="1:15" x14ac:dyDescent="0.3">
      <c r="A360" s="5" t="s">
        <v>652</v>
      </c>
      <c r="B360" s="20">
        <v>360</v>
      </c>
      <c r="C360" s="21">
        <v>806358.06299999997</v>
      </c>
      <c r="D360" s="18">
        <f t="shared" si="15"/>
        <v>806358.06299999997</v>
      </c>
      <c r="E360" s="21">
        <f t="shared" si="16"/>
        <v>766040.15984999994</v>
      </c>
      <c r="F360" s="18">
        <v>1</v>
      </c>
      <c r="G360" s="23" t="s">
        <v>653</v>
      </c>
      <c r="H360" s="22" t="s">
        <v>1053</v>
      </c>
      <c r="I360" s="22" t="s">
        <v>1054</v>
      </c>
      <c r="J360" s="22" t="s">
        <v>1327</v>
      </c>
      <c r="K360" s="11" t="s">
        <v>1467</v>
      </c>
      <c r="M360" s="17">
        <f>IFERROR(
IF(
$A360="","",
(VLOOKUP($G360,'nuevos productoss'!$A:$E,4,0))
),$C360)</f>
        <v>805021.28399999999</v>
      </c>
      <c r="N360" s="17">
        <f>IFERROR(
IF(
$A360="","",
(VLOOKUP($G360,'nuevos productoss'!$A:$E,5,0))
),$C360)</f>
        <v>718769.10400000005</v>
      </c>
      <c r="O360" s="17">
        <f t="shared" si="17"/>
        <v>86252.179999999935</v>
      </c>
    </row>
    <row r="361" spans="1:15" x14ac:dyDescent="0.3">
      <c r="A361" s="5" t="s">
        <v>654</v>
      </c>
      <c r="B361" s="20">
        <v>360</v>
      </c>
      <c r="C361" s="21">
        <v>973035.48300000001</v>
      </c>
      <c r="D361" s="18">
        <f t="shared" si="15"/>
        <v>973035.48300000001</v>
      </c>
      <c r="E361" s="21">
        <f t="shared" si="16"/>
        <v>924383.70884999994</v>
      </c>
      <c r="F361" s="18">
        <v>1</v>
      </c>
      <c r="G361" s="23" t="s">
        <v>655</v>
      </c>
      <c r="H361" s="22" t="s">
        <v>1053</v>
      </c>
      <c r="I361" s="22" t="s">
        <v>1054</v>
      </c>
      <c r="J361" s="22" t="s">
        <v>1327</v>
      </c>
      <c r="K361" s="11" t="s">
        <v>1467</v>
      </c>
      <c r="M361" s="17">
        <f>IFERROR(
IF(
$A361="","",
(VLOOKUP($G361,'nuevos productoss'!$A:$E,4,0))
),$C361)</f>
        <v>971422.42</v>
      </c>
      <c r="N361" s="17">
        <f>IFERROR(
IF(
$A361="","",
(VLOOKUP($G361,'nuevos productoss'!$A:$E,5,0))
),$C361)</f>
        <v>867341.42</v>
      </c>
      <c r="O361" s="17">
        <f t="shared" si="17"/>
        <v>104081</v>
      </c>
    </row>
    <row r="362" spans="1:15" x14ac:dyDescent="0.3">
      <c r="A362" s="5" t="s">
        <v>656</v>
      </c>
      <c r="B362" s="20">
        <v>360</v>
      </c>
      <c r="C362" s="21">
        <v>948484.42500000005</v>
      </c>
      <c r="D362" s="18">
        <f t="shared" si="15"/>
        <v>948484.42500000005</v>
      </c>
      <c r="E362" s="21">
        <f t="shared" si="16"/>
        <v>901060.20374999999</v>
      </c>
      <c r="F362" s="18">
        <v>1</v>
      </c>
      <c r="G362" s="23" t="s">
        <v>657</v>
      </c>
      <c r="H362" s="22" t="s">
        <v>1053</v>
      </c>
      <c r="I362" s="22" t="s">
        <v>1054</v>
      </c>
      <c r="J362" s="22" t="s">
        <v>1327</v>
      </c>
      <c r="K362" s="11" t="s">
        <v>1467</v>
      </c>
      <c r="M362" s="17">
        <f>IFERROR(
IF(
$A362="","",
(VLOOKUP($G362,'nuevos productoss'!$A:$E,4,0))
),$C362)</f>
        <v>946911.99199999997</v>
      </c>
      <c r="N362" s="17">
        <f>IFERROR(
IF(
$A362="","",
(VLOOKUP($G362,'nuevos productoss'!$A:$E,5,0))
),$C362)</f>
        <v>845457.10400000005</v>
      </c>
      <c r="O362" s="17">
        <f t="shared" si="17"/>
        <v>101454.88799999992</v>
      </c>
    </row>
    <row r="363" spans="1:15" x14ac:dyDescent="0.3">
      <c r="A363" s="5" t="s">
        <v>658</v>
      </c>
      <c r="B363" s="20">
        <v>360</v>
      </c>
      <c r="C363" s="21">
        <v>1126198.4580000001</v>
      </c>
      <c r="D363" s="18">
        <f t="shared" si="15"/>
        <v>1126198.4580000001</v>
      </c>
      <c r="E363" s="21">
        <f t="shared" si="16"/>
        <v>1069888.5351</v>
      </c>
      <c r="F363" s="18">
        <v>1</v>
      </c>
      <c r="G363" s="23" t="s">
        <v>659</v>
      </c>
      <c r="H363" s="22" t="s">
        <v>1053</v>
      </c>
      <c r="I363" s="22" t="s">
        <v>1054</v>
      </c>
      <c r="J363" s="22" t="s">
        <v>1328</v>
      </c>
      <c r="K363" s="11" t="s">
        <v>1467</v>
      </c>
      <c r="M363" s="17">
        <f>IFERROR(
IF(
$A363="","",
(VLOOKUP($G363,'nuevos productoss'!$A:$E,4,0))
),$C363)</f>
        <v>1124331.432</v>
      </c>
      <c r="N363" s="17">
        <f>IFERROR(
IF(
$A363="","",
(VLOOKUP($G363,'nuevos productoss'!$A:$E,5,0))
),$C363)</f>
        <v>1003867.424</v>
      </c>
      <c r="O363" s="17">
        <f t="shared" si="17"/>
        <v>120464.00800000003</v>
      </c>
    </row>
    <row r="364" spans="1:15" x14ac:dyDescent="0.3">
      <c r="A364" s="5" t="s">
        <v>1063</v>
      </c>
      <c r="B364" s="20">
        <v>15</v>
      </c>
      <c r="C364" s="21">
        <v>2748.3119999999999</v>
      </c>
      <c r="D364" s="18">
        <f t="shared" si="15"/>
        <v>2748.3119999999999</v>
      </c>
      <c r="E364" s="21">
        <f t="shared" si="16"/>
        <v>2610.8963999999996</v>
      </c>
      <c r="F364" s="18">
        <v>1</v>
      </c>
      <c r="G364" s="23" t="s">
        <v>660</v>
      </c>
      <c r="H364" s="22" t="s">
        <v>1058</v>
      </c>
      <c r="I364" s="22" t="s">
        <v>1044</v>
      </c>
      <c r="J364" s="22" t="s">
        <v>1329</v>
      </c>
      <c r="K364" s="11" t="s">
        <v>1467</v>
      </c>
      <c r="M364" s="17">
        <f>IFERROR(
IF(
$A364="","",
(VLOOKUP($G364,'nuevos productoss'!$A:$E,4,0))
),$C364)</f>
        <v>2698.04</v>
      </c>
      <c r="N364" s="17">
        <f>IFERROR(
IF(
$A364="","",
(VLOOKUP($G364,'nuevos productoss'!$A:$E,5,0))
),$C364)</f>
        <v>2286.4520000000002</v>
      </c>
      <c r="O364" s="17">
        <f t="shared" si="17"/>
        <v>411.58799999999974</v>
      </c>
    </row>
    <row r="365" spans="1:15" x14ac:dyDescent="0.3">
      <c r="B365" s="20"/>
      <c r="C365" s="21"/>
      <c r="D365" s="18">
        <f t="shared" si="15"/>
        <v>0</v>
      </c>
      <c r="E365" s="21" t="str">
        <f t="shared" si="16"/>
        <v/>
      </c>
      <c r="F365" s="18"/>
      <c r="G365" s="5"/>
      <c r="H365" s="22" t="s">
        <v>1865</v>
      </c>
      <c r="I365" s="22" t="s">
        <v>1865</v>
      </c>
      <c r="J365" s="22" t="s">
        <v>1865</v>
      </c>
      <c r="K365" s="11" t="s">
        <v>1467</v>
      </c>
      <c r="M365" s="17" t="str">
        <f>IFERROR(
IF(
$A365="","",
(VLOOKUP($G365,'nuevos productoss'!$A:$E,4,0))
),$C365)</f>
        <v/>
      </c>
      <c r="N365" s="17" t="str">
        <f>IFERROR(
IF(
$A365="","",
(VLOOKUP($G365,'nuevos productoss'!$A:$E,5,0))
),$C365)</f>
        <v/>
      </c>
      <c r="O365" s="17">
        <f t="shared" si="17"/>
        <v>0</v>
      </c>
    </row>
    <row r="366" spans="1:15" x14ac:dyDescent="0.3">
      <c r="A366" s="5" t="s">
        <v>661</v>
      </c>
      <c r="B366" s="20">
        <v>15</v>
      </c>
      <c r="C366" s="21">
        <v>15242.724</v>
      </c>
      <c r="D366" s="18">
        <f t="shared" si="15"/>
        <v>15242.724</v>
      </c>
      <c r="E366" s="21">
        <f t="shared" si="16"/>
        <v>14480.587799999999</v>
      </c>
      <c r="F366" s="18">
        <v>1</v>
      </c>
      <c r="G366" s="23" t="s">
        <v>662</v>
      </c>
      <c r="H366" s="22" t="s">
        <v>1058</v>
      </c>
      <c r="I366" s="22" t="s">
        <v>1044</v>
      </c>
      <c r="J366" s="22" t="s">
        <v>1330</v>
      </c>
      <c r="K366" s="11" t="s">
        <v>1467</v>
      </c>
      <c r="M366" s="17">
        <f>IFERROR(
IF(
$A366="","",
(VLOOKUP($G366,'nuevos productoss'!$A:$E,4,0))
),$C366)</f>
        <v>14964.871999999999</v>
      </c>
      <c r="N366" s="17">
        <f>IFERROR(
IF(
$A366="","",
(VLOOKUP($G366,'nuevos productoss'!$A:$E,5,0))
),$C366)</f>
        <v>12682.12</v>
      </c>
      <c r="O366" s="17">
        <f t="shared" si="17"/>
        <v>2282.7519999999986</v>
      </c>
    </row>
    <row r="367" spans="1:15" x14ac:dyDescent="0.3">
      <c r="A367" s="5" t="s">
        <v>663</v>
      </c>
      <c r="B367" s="20">
        <v>15</v>
      </c>
      <c r="C367" s="21">
        <v>17563.706999999999</v>
      </c>
      <c r="D367" s="18">
        <f t="shared" si="15"/>
        <v>17563.706999999999</v>
      </c>
      <c r="E367" s="21">
        <f t="shared" si="16"/>
        <v>16685.521649999999</v>
      </c>
      <c r="F367" s="18">
        <v>1</v>
      </c>
      <c r="G367" s="23" t="s">
        <v>664</v>
      </c>
      <c r="H367" s="22" t="s">
        <v>1058</v>
      </c>
      <c r="I367" s="22" t="s">
        <v>1044</v>
      </c>
      <c r="J367" s="22" t="s">
        <v>1331</v>
      </c>
      <c r="K367" s="11" t="s">
        <v>1467</v>
      </c>
      <c r="M367" s="17">
        <f>IFERROR(
IF(
$A367="","",
(VLOOKUP($G367,'nuevos productoss'!$A:$E,4,0))
),$C367)</f>
        <v>17239.928</v>
      </c>
      <c r="N367" s="17">
        <f>IFERROR(
IF(
$A367="","",
(VLOOKUP($G367,'nuevos productoss'!$A:$E,5,0))
),$C367)</f>
        <v>14610.116</v>
      </c>
      <c r="O367" s="17">
        <f t="shared" si="17"/>
        <v>2629.8119999999999</v>
      </c>
    </row>
    <row r="368" spans="1:15" x14ac:dyDescent="0.3">
      <c r="B368" s="20"/>
      <c r="C368" s="21"/>
      <c r="D368" s="18">
        <f t="shared" si="15"/>
        <v>0</v>
      </c>
      <c r="E368" s="21" t="str">
        <f t="shared" si="16"/>
        <v/>
      </c>
      <c r="F368" s="18"/>
      <c r="G368" s="5"/>
      <c r="H368" s="22" t="s">
        <v>1865</v>
      </c>
      <c r="I368" s="22" t="s">
        <v>1865</v>
      </c>
      <c r="J368" s="22" t="s">
        <v>1865</v>
      </c>
      <c r="K368" s="11" t="s">
        <v>1467</v>
      </c>
      <c r="M368" s="17" t="str">
        <f>IFERROR(
IF(
$A368="","",
(VLOOKUP($G368,'nuevos productoss'!$A:$E,4,0))
),$C368)</f>
        <v/>
      </c>
      <c r="N368" s="17" t="str">
        <f>IFERROR(
IF(
$A368="","",
(VLOOKUP($G368,'nuevos productoss'!$A:$E,5,0))
),$C368)</f>
        <v/>
      </c>
      <c r="O368" s="17">
        <f t="shared" si="17"/>
        <v>0</v>
      </c>
    </row>
    <row r="369" spans="1:15" x14ac:dyDescent="0.3">
      <c r="A369" s="5" t="s">
        <v>665</v>
      </c>
      <c r="B369" s="20">
        <v>15</v>
      </c>
      <c r="C369" s="21">
        <v>31178.258999999998</v>
      </c>
      <c r="D369" s="18">
        <f t="shared" si="15"/>
        <v>31178.258999999998</v>
      </c>
      <c r="E369" s="21">
        <f t="shared" si="16"/>
        <v>29619.346049999996</v>
      </c>
      <c r="F369" s="18">
        <v>1</v>
      </c>
      <c r="G369" s="23" t="s">
        <v>666</v>
      </c>
      <c r="H369" s="22" t="s">
        <v>1058</v>
      </c>
      <c r="I369" s="22" t="s">
        <v>1044</v>
      </c>
      <c r="J369" s="22" t="s">
        <v>1332</v>
      </c>
      <c r="K369" s="11" t="s">
        <v>1467</v>
      </c>
      <c r="M369" s="17">
        <f>IFERROR(
IF(
$A369="","",
(VLOOKUP($G369,'nuevos productoss'!$A:$E,4,0))
),$C369)</f>
        <v>30603.292000000001</v>
      </c>
      <c r="N369" s="17">
        <f>IFERROR(
IF(
$A369="","",
(VLOOKUP($G369,'nuevos productoss'!$A:$E,5,0))
),$C369)</f>
        <v>25935.076000000001</v>
      </c>
      <c r="O369" s="17">
        <f t="shared" si="17"/>
        <v>4668.2160000000003</v>
      </c>
    </row>
    <row r="370" spans="1:15" x14ac:dyDescent="0.3">
      <c r="A370" s="5" t="s">
        <v>667</v>
      </c>
      <c r="B370" s="20">
        <v>0</v>
      </c>
      <c r="C370" s="21">
        <v>1964.2139999999999</v>
      </c>
      <c r="D370" s="18">
        <f t="shared" si="15"/>
        <v>1964.2139999999999</v>
      </c>
      <c r="E370" s="21">
        <f t="shared" si="16"/>
        <v>1866.0032999999999</v>
      </c>
      <c r="F370" s="18">
        <v>1</v>
      </c>
      <c r="G370" s="23" t="s">
        <v>668</v>
      </c>
      <c r="H370" s="22" t="s">
        <v>1058</v>
      </c>
      <c r="I370" s="22" t="s">
        <v>1065</v>
      </c>
      <c r="J370" s="22" t="s">
        <v>1333</v>
      </c>
      <c r="K370" s="11" t="s">
        <v>1467</v>
      </c>
      <c r="M370" s="17">
        <f>IFERROR(
IF(
$A370="","",
(VLOOKUP($G370,'nuevos productoss'!$A:$E,4,0))
),$C370)</f>
        <v>1927.9960000000001</v>
      </c>
      <c r="N370" s="17">
        <f>IFERROR(
IF(
$A370="","",
(VLOOKUP($G370,'nuevos productoss'!$A:$E,5,0))
),$C370)</f>
        <v>1633.92</v>
      </c>
      <c r="O370" s="17">
        <f t="shared" si="17"/>
        <v>294.07600000000002</v>
      </c>
    </row>
    <row r="371" spans="1:15" x14ac:dyDescent="0.3">
      <c r="A371" s="5" t="s">
        <v>669</v>
      </c>
      <c r="B371" s="20">
        <v>0</v>
      </c>
      <c r="C371" s="21">
        <v>1964.2139999999999</v>
      </c>
      <c r="D371" s="18">
        <f t="shared" si="15"/>
        <v>1964.2139999999999</v>
      </c>
      <c r="E371" s="21">
        <f t="shared" si="16"/>
        <v>1866.0032999999999</v>
      </c>
      <c r="F371" s="18">
        <v>1</v>
      </c>
      <c r="G371" s="23" t="s">
        <v>670</v>
      </c>
      <c r="H371" s="22" t="s">
        <v>1058</v>
      </c>
      <c r="I371" s="22" t="s">
        <v>1065</v>
      </c>
      <c r="J371" s="22" t="s">
        <v>1334</v>
      </c>
      <c r="K371" s="11" t="s">
        <v>1467</v>
      </c>
      <c r="M371" s="17">
        <f>IFERROR(
IF(
$A371="","",
(VLOOKUP($G371,'nuevos productoss'!$A:$E,4,0))
),$C371)</f>
        <v>1927.9960000000001</v>
      </c>
      <c r="N371" s="17">
        <f>IFERROR(
IF(
$A371="","",
(VLOOKUP($G371,'nuevos productoss'!$A:$E,5,0))
),$C371)</f>
        <v>1633.92</v>
      </c>
      <c r="O371" s="17">
        <f t="shared" si="17"/>
        <v>294.07600000000002</v>
      </c>
    </row>
    <row r="372" spans="1:15" x14ac:dyDescent="0.3">
      <c r="A372" s="5" t="s">
        <v>671</v>
      </c>
      <c r="B372" s="20">
        <v>0</v>
      </c>
      <c r="C372" s="21">
        <v>3666.18</v>
      </c>
      <c r="D372" s="18">
        <f t="shared" si="15"/>
        <v>3666.18</v>
      </c>
      <c r="E372" s="21">
        <f t="shared" si="16"/>
        <v>3482.8709999999996</v>
      </c>
      <c r="F372" s="18">
        <v>1</v>
      </c>
      <c r="G372" s="23" t="s">
        <v>672</v>
      </c>
      <c r="H372" s="22" t="s">
        <v>1058</v>
      </c>
      <c r="I372" s="22" t="s">
        <v>1065</v>
      </c>
      <c r="J372" s="22" t="s">
        <v>1335</v>
      </c>
      <c r="K372" s="11" t="s">
        <v>1467</v>
      </c>
      <c r="M372" s="17">
        <f>IFERROR(
IF(
$A372="","",
(VLOOKUP($G372,'nuevos productoss'!$A:$E,4,0))
),$C372)</f>
        <v>3691.12</v>
      </c>
      <c r="N372" s="17">
        <f>IFERROR(
IF(
$A372="","",
(VLOOKUP($G372,'nuevos productoss'!$A:$E,5,0))
),$C372)</f>
        <v>10652.596</v>
      </c>
      <c r="O372" s="17">
        <f t="shared" si="17"/>
        <v>-6961.4759999999997</v>
      </c>
    </row>
    <row r="373" spans="1:15" x14ac:dyDescent="0.3">
      <c r="A373" s="5" t="s">
        <v>673</v>
      </c>
      <c r="B373" s="20">
        <v>360</v>
      </c>
      <c r="C373" s="21">
        <v>9867.5220000000008</v>
      </c>
      <c r="D373" s="18">
        <f t="shared" si="15"/>
        <v>9867.5220000000008</v>
      </c>
      <c r="E373" s="21">
        <f t="shared" si="16"/>
        <v>9374.1458999999995</v>
      </c>
      <c r="F373" s="18">
        <v>1</v>
      </c>
      <c r="G373" s="23" t="s">
        <v>674</v>
      </c>
      <c r="H373" s="22" t="s">
        <v>1058</v>
      </c>
      <c r="I373" s="22" t="s">
        <v>1045</v>
      </c>
      <c r="J373" s="22" t="s">
        <v>1336</v>
      </c>
      <c r="K373" s="11" t="s">
        <v>1467</v>
      </c>
      <c r="M373" s="17">
        <f>IFERROR(
IF(
$A373="","",
(VLOOKUP($G373,'nuevos productoss'!$A:$E,4,0))
),$C373)</f>
        <v>9687.7839999999997</v>
      </c>
      <c r="N373" s="17">
        <f>IFERROR(
IF(
$A373="","",
(VLOOKUP($G373,'nuevos productoss'!$A:$E,5,0))
),$C373)</f>
        <v>8210.0040000000008</v>
      </c>
      <c r="O373" s="17">
        <f t="shared" si="17"/>
        <v>1477.7799999999988</v>
      </c>
    </row>
    <row r="374" spans="1:15" x14ac:dyDescent="0.3">
      <c r="A374" s="5" t="s">
        <v>675</v>
      </c>
      <c r="B374" s="20">
        <v>360</v>
      </c>
      <c r="C374" s="21">
        <v>19343.877</v>
      </c>
      <c r="D374" s="18">
        <f t="shared" si="15"/>
        <v>19343.877</v>
      </c>
      <c r="E374" s="21">
        <f t="shared" si="16"/>
        <v>18376.683150000001</v>
      </c>
      <c r="F374" s="18">
        <v>1</v>
      </c>
      <c r="G374" s="23" t="s">
        <v>676</v>
      </c>
      <c r="H374" s="22" t="s">
        <v>1058</v>
      </c>
      <c r="I374" s="22" t="s">
        <v>1045</v>
      </c>
      <c r="J374" s="22" t="s">
        <v>1337</v>
      </c>
      <c r="K374" s="11" t="s">
        <v>1467</v>
      </c>
      <c r="M374" s="17">
        <f>IFERROR(
IF(
$A374="","",
(VLOOKUP($G374,'nuevos productoss'!$A:$E,4,0))
),$C374)</f>
        <v>17493.599999999999</v>
      </c>
      <c r="N374" s="17">
        <f>IFERROR(
IF(
$A374="","",
(VLOOKUP($G374,'nuevos productoss'!$A:$E,5,0))
),$C374)</f>
        <v>14825.16</v>
      </c>
      <c r="O374" s="17">
        <f t="shared" si="17"/>
        <v>2668.4399999999987</v>
      </c>
    </row>
    <row r="375" spans="1:15" x14ac:dyDescent="0.3">
      <c r="A375" s="5" t="s">
        <v>677</v>
      </c>
      <c r="B375" s="20">
        <v>15</v>
      </c>
      <c r="C375" s="21">
        <v>17228.400000000001</v>
      </c>
      <c r="D375" s="18">
        <f t="shared" si="15"/>
        <v>17228.400000000001</v>
      </c>
      <c r="E375" s="21">
        <f t="shared" si="16"/>
        <v>16366.980000000001</v>
      </c>
      <c r="F375" s="18">
        <v>1</v>
      </c>
      <c r="G375" s="23" t="s">
        <v>678</v>
      </c>
      <c r="H375" s="22" t="s">
        <v>1058</v>
      </c>
      <c r="I375" s="22" t="s">
        <v>1045</v>
      </c>
      <c r="J375" s="22" t="s">
        <v>1338</v>
      </c>
      <c r="K375" s="11" t="s">
        <v>1467</v>
      </c>
      <c r="M375" s="17">
        <f>IFERROR(
IF(
$A375="","",
(VLOOKUP($G375,'nuevos productoss'!$A:$E,4,0))
),$C375)</f>
        <v>15828.451999999999</v>
      </c>
      <c r="N375" s="17">
        <f>IFERROR(
IF(
$A375="","",
(VLOOKUP($G375,'nuevos productoss'!$A:$E,5,0))
),$C375)</f>
        <v>13413.98</v>
      </c>
      <c r="O375" s="17">
        <f t="shared" si="17"/>
        <v>2414.4719999999998</v>
      </c>
    </row>
    <row r="376" spans="1:15" x14ac:dyDescent="0.3">
      <c r="A376" s="5" t="s">
        <v>679</v>
      </c>
      <c r="B376" s="20">
        <v>15</v>
      </c>
      <c r="C376" s="21">
        <v>18200.364000000001</v>
      </c>
      <c r="D376" s="18">
        <f t="shared" si="15"/>
        <v>18200.364000000001</v>
      </c>
      <c r="E376" s="21">
        <f t="shared" si="16"/>
        <v>17290.345799999999</v>
      </c>
      <c r="F376" s="18">
        <v>1</v>
      </c>
      <c r="G376" s="23" t="s">
        <v>680</v>
      </c>
      <c r="H376" s="22" t="s">
        <v>1058</v>
      </c>
      <c r="I376" s="22" t="s">
        <v>1045</v>
      </c>
      <c r="J376" s="22" t="s">
        <v>1339</v>
      </c>
      <c r="K376" s="11" t="s">
        <v>1467</v>
      </c>
      <c r="M376" s="17">
        <f>IFERROR(
IF(
$A376="","",
(VLOOKUP($G376,'nuevos productoss'!$A:$E,4,0))
),$C376)</f>
        <v>17267.16</v>
      </c>
      <c r="N376" s="17">
        <f>IFERROR(
IF(
$A376="","",
(VLOOKUP($G376,'nuevos productoss'!$A:$E,5,0))
),$C376)</f>
        <v>14633.204</v>
      </c>
      <c r="O376" s="17">
        <f t="shared" si="17"/>
        <v>2633.9560000000001</v>
      </c>
    </row>
    <row r="377" spans="1:15" x14ac:dyDescent="0.3">
      <c r="A377" s="5" t="s">
        <v>681</v>
      </c>
      <c r="B377" s="20">
        <v>360</v>
      </c>
      <c r="C377" s="21">
        <v>20504.883000000002</v>
      </c>
      <c r="D377" s="18">
        <f t="shared" si="15"/>
        <v>20504.883000000002</v>
      </c>
      <c r="E377" s="21">
        <f t="shared" si="16"/>
        <v>19479.638849999999</v>
      </c>
      <c r="F377" s="18">
        <v>1</v>
      </c>
      <c r="G377" s="23" t="s">
        <v>682</v>
      </c>
      <c r="H377" s="22" t="s">
        <v>1058</v>
      </c>
      <c r="I377" s="22" t="s">
        <v>1045</v>
      </c>
      <c r="J377" s="22" t="s">
        <v>1340</v>
      </c>
      <c r="K377" s="11" t="s">
        <v>1467</v>
      </c>
      <c r="M377" s="17">
        <f>IFERROR(
IF(
$A377="","",
(VLOOKUP($G377,'nuevos productoss'!$A:$E,4,0))
),$C377)</f>
        <v>18759.148000000001</v>
      </c>
      <c r="N377" s="17">
        <f>IFERROR(
IF(
$A377="","",
(VLOOKUP($G377,'nuevos productoss'!$A:$E,5,0))
),$C377)</f>
        <v>15897.567999999999</v>
      </c>
      <c r="O377" s="17">
        <f t="shared" si="17"/>
        <v>2861.5800000000017</v>
      </c>
    </row>
    <row r="378" spans="1:15" x14ac:dyDescent="0.3">
      <c r="A378" s="5" t="s">
        <v>683</v>
      </c>
      <c r="B378" s="20">
        <v>360</v>
      </c>
      <c r="C378" s="21">
        <v>75001.751999999993</v>
      </c>
      <c r="D378" s="18">
        <f t="shared" si="15"/>
        <v>75001.751999999993</v>
      </c>
      <c r="E378" s="21">
        <f t="shared" si="16"/>
        <v>71251.664399999994</v>
      </c>
      <c r="F378" s="18">
        <v>1</v>
      </c>
      <c r="G378" s="23" t="s">
        <v>684</v>
      </c>
      <c r="H378" s="22" t="s">
        <v>1058</v>
      </c>
      <c r="I378" s="22" t="s">
        <v>1045</v>
      </c>
      <c r="J378" s="22" t="s">
        <v>1341</v>
      </c>
      <c r="K378" s="11" t="s">
        <v>1467</v>
      </c>
      <c r="M378" s="17">
        <f>IFERROR(
IF(
$A378="","",
(VLOOKUP($G378,'nuevos productoss'!$A:$E,4,0))
),$C378)</f>
        <v>73618.751999999993</v>
      </c>
      <c r="N378" s="17">
        <f>IFERROR(
IF(
$A378="","",
(VLOOKUP($G378,'nuevos productoss'!$A:$E,5,0))
),$C378)</f>
        <v>62388.807999999997</v>
      </c>
      <c r="O378" s="17">
        <f t="shared" si="17"/>
        <v>11229.943999999996</v>
      </c>
    </row>
    <row r="379" spans="1:15" x14ac:dyDescent="0.3">
      <c r="A379" s="5" t="s">
        <v>685</v>
      </c>
      <c r="B379" s="20">
        <v>360</v>
      </c>
      <c r="C379" s="21">
        <v>26125.575000000001</v>
      </c>
      <c r="D379" s="18">
        <f t="shared" si="15"/>
        <v>26125.575000000001</v>
      </c>
      <c r="E379" s="21">
        <f t="shared" si="16"/>
        <v>24819.296249999999</v>
      </c>
      <c r="F379" s="18">
        <v>1</v>
      </c>
      <c r="G379" s="23" t="s">
        <v>686</v>
      </c>
      <c r="H379" s="22" t="s">
        <v>1058</v>
      </c>
      <c r="I379" s="22" t="s">
        <v>1045</v>
      </c>
      <c r="J379" s="22" t="s">
        <v>1342</v>
      </c>
      <c r="K379" s="11" t="s">
        <v>1467</v>
      </c>
      <c r="M379" s="17">
        <f>IFERROR(
IF(
$A379="","",
(VLOOKUP($G379,'nuevos productoss'!$A:$E,4,0))
),$C379)</f>
        <v>25645.736000000001</v>
      </c>
      <c r="N379" s="17">
        <f>IFERROR(
IF(
$A379="","",
(VLOOKUP($G379,'nuevos productoss'!$A:$E,5,0))
),$C379)</f>
        <v>21733.651999999998</v>
      </c>
      <c r="O379" s="17">
        <f t="shared" si="17"/>
        <v>3912.0840000000026</v>
      </c>
    </row>
    <row r="380" spans="1:15" x14ac:dyDescent="0.3">
      <c r="A380" s="5" t="s">
        <v>687</v>
      </c>
      <c r="B380" s="20">
        <v>15</v>
      </c>
      <c r="C380" s="21">
        <v>98731.08</v>
      </c>
      <c r="D380" s="18">
        <f t="shared" si="15"/>
        <v>98731.08</v>
      </c>
      <c r="E380" s="21">
        <f t="shared" si="16"/>
        <v>93794.525999999998</v>
      </c>
      <c r="F380" s="18">
        <v>1</v>
      </c>
      <c r="G380" s="23" t="s">
        <v>688</v>
      </c>
      <c r="H380" s="22" t="s">
        <v>1046</v>
      </c>
      <c r="I380" s="22" t="s">
        <v>1047</v>
      </c>
      <c r="J380" s="22" t="s">
        <v>1343</v>
      </c>
      <c r="K380" s="11" t="s">
        <v>1467</v>
      </c>
      <c r="M380" s="17">
        <f>IFERROR(
IF(
$A380="","",
(VLOOKUP($G380,'nuevos productoss'!$A:$E,4,0))
),$C380)</f>
        <v>96910.547999999995</v>
      </c>
      <c r="N380" s="17">
        <f>IFERROR(
IF(
$A380="","",
(VLOOKUP($G380,'nuevos productoss'!$A:$E,5,0))
),$C380)</f>
        <v>82127.567999999999</v>
      </c>
      <c r="O380" s="17">
        <f t="shared" si="17"/>
        <v>14782.979999999996</v>
      </c>
    </row>
    <row r="381" spans="1:15" x14ac:dyDescent="0.3">
      <c r="A381" s="5" t="s">
        <v>689</v>
      </c>
      <c r="B381" s="20">
        <v>360</v>
      </c>
      <c r="C381" s="21">
        <v>519281.61599999998</v>
      </c>
      <c r="D381" s="18">
        <f t="shared" si="15"/>
        <v>519281.61599999998</v>
      </c>
      <c r="E381" s="21">
        <f t="shared" si="16"/>
        <v>493317.53519999998</v>
      </c>
      <c r="F381" s="18">
        <v>1</v>
      </c>
      <c r="G381" s="23" t="s">
        <v>690</v>
      </c>
      <c r="H381" s="22" t="s">
        <v>1051</v>
      </c>
      <c r="I381" s="22" t="s">
        <v>1052</v>
      </c>
      <c r="J381" s="22" t="s">
        <v>1344</v>
      </c>
      <c r="K381" s="11" t="s">
        <v>1467</v>
      </c>
      <c r="M381" s="17">
        <f>IFERROR(
IF(
$A381="","",
(VLOOKUP($G381,'nuevos productoss'!$A:$E,4,0))
),$C381)</f>
        <v>509743.82</v>
      </c>
      <c r="N381" s="17">
        <f>IFERROR(
IF(
$A381="","",
(VLOOKUP($G381,'nuevos productoss'!$A:$E,5,0))
),$C381)</f>
        <v>431986.24800000002</v>
      </c>
      <c r="O381" s="17">
        <f t="shared" si="17"/>
        <v>77757.571999999986</v>
      </c>
    </row>
    <row r="382" spans="1:15" x14ac:dyDescent="0.3">
      <c r="A382" s="5" t="s">
        <v>691</v>
      </c>
      <c r="B382" s="20">
        <v>360</v>
      </c>
      <c r="C382" s="21">
        <v>547551.48</v>
      </c>
      <c r="D382" s="18">
        <f t="shared" si="15"/>
        <v>547551.48</v>
      </c>
      <c r="E382" s="21">
        <f t="shared" si="16"/>
        <v>520173.90599999996</v>
      </c>
      <c r="F382" s="18">
        <v>1</v>
      </c>
      <c r="G382" s="23" t="s">
        <v>692</v>
      </c>
      <c r="H382" s="22" t="s">
        <v>1051</v>
      </c>
      <c r="I382" s="22" t="s">
        <v>1052</v>
      </c>
      <c r="J382" s="22" t="s">
        <v>1344</v>
      </c>
      <c r="K382" s="11" t="s">
        <v>1467</v>
      </c>
      <c r="M382" s="17">
        <f>IFERROR(
IF(
$A382="","",
(VLOOKUP($G382,'nuevos productoss'!$A:$E,4,0))
),$C382)</f>
        <v>544899.14800000004</v>
      </c>
      <c r="N382" s="17">
        <f>IFERROR(
IF(
$A382="","",
(VLOOKUP($G382,'nuevos productoss'!$A:$E,5,0))
),$C382)</f>
        <v>461778.94400000002</v>
      </c>
      <c r="O382" s="17">
        <f t="shared" si="17"/>
        <v>83120.204000000027</v>
      </c>
    </row>
    <row r="383" spans="1:15" x14ac:dyDescent="0.3">
      <c r="A383" s="5" t="s">
        <v>693</v>
      </c>
      <c r="B383" s="20">
        <v>360</v>
      </c>
      <c r="C383" s="21">
        <v>695998.84199999995</v>
      </c>
      <c r="D383" s="18">
        <f t="shared" si="15"/>
        <v>695998.84199999995</v>
      </c>
      <c r="E383" s="21">
        <f t="shared" si="16"/>
        <v>661198.89989999996</v>
      </c>
      <c r="F383" s="18">
        <v>1</v>
      </c>
      <c r="G383" s="23" t="s">
        <v>694</v>
      </c>
      <c r="H383" s="22" t="s">
        <v>1051</v>
      </c>
      <c r="I383" s="22" t="s">
        <v>1052</v>
      </c>
      <c r="J383" s="22" t="s">
        <v>1344</v>
      </c>
      <c r="K383" s="11" t="s">
        <v>1467</v>
      </c>
      <c r="M383" s="17">
        <f>IFERROR(
IF(
$A383="","",
(VLOOKUP($G383,'nuevos productoss'!$A:$E,4,0))
),$C383)</f>
        <v>683312.44799999997</v>
      </c>
      <c r="N383" s="17">
        <f>IFERROR(
IF(
$A383="","",
(VLOOKUP($G383,'nuevos productoss'!$A:$E,5,0))
),$C383)</f>
        <v>579078.41599999997</v>
      </c>
      <c r="O383" s="17">
        <f t="shared" si="17"/>
        <v>104234.03200000001</v>
      </c>
    </row>
    <row r="384" spans="1:15" x14ac:dyDescent="0.3">
      <c r="A384" s="5" t="s">
        <v>695</v>
      </c>
      <c r="B384" s="20">
        <v>360</v>
      </c>
      <c r="C384" s="21">
        <v>676530.30900000001</v>
      </c>
      <c r="D384" s="18">
        <f t="shared" si="15"/>
        <v>676530.30900000001</v>
      </c>
      <c r="E384" s="21">
        <f t="shared" si="16"/>
        <v>642703.79354999994</v>
      </c>
      <c r="F384" s="18">
        <v>1</v>
      </c>
      <c r="G384" s="23" t="s">
        <v>696</v>
      </c>
      <c r="H384" s="22" t="s">
        <v>1051</v>
      </c>
      <c r="I384" s="22" t="s">
        <v>1052</v>
      </c>
      <c r="J384" s="22" t="s">
        <v>1345</v>
      </c>
      <c r="K384" s="11" t="s">
        <v>1467</v>
      </c>
      <c r="M384" s="17">
        <f>IFERROR(
IF(
$A384="","",
(VLOOKUP($G384,'nuevos productoss'!$A:$E,4,0))
),$C384)</f>
        <v>664198.84</v>
      </c>
      <c r="N384" s="17">
        <f>IFERROR(
IF(
$A384="","",
(VLOOKUP($G384,'nuevos productoss'!$A:$E,5,0))
),$C384)</f>
        <v>562880.40800000005</v>
      </c>
      <c r="O384" s="17">
        <f t="shared" si="17"/>
        <v>101318.43199999991</v>
      </c>
    </row>
    <row r="385" spans="1:15" x14ac:dyDescent="0.3">
      <c r="A385" s="5" t="s">
        <v>697</v>
      </c>
      <c r="B385" s="20">
        <v>360</v>
      </c>
      <c r="C385" s="21">
        <v>640026.82799999998</v>
      </c>
      <c r="D385" s="18">
        <f t="shared" si="15"/>
        <v>640026.82799999998</v>
      </c>
      <c r="E385" s="21">
        <f t="shared" si="16"/>
        <v>608025.48659999995</v>
      </c>
      <c r="F385" s="18">
        <v>1</v>
      </c>
      <c r="G385" s="23" t="s">
        <v>698</v>
      </c>
      <c r="H385" s="22" t="s">
        <v>1051</v>
      </c>
      <c r="I385" s="22" t="s">
        <v>1052</v>
      </c>
      <c r="J385" s="22" t="s">
        <v>1344</v>
      </c>
      <c r="K385" s="11" t="s">
        <v>1467</v>
      </c>
      <c r="M385" s="17">
        <f>IFERROR(
IF(
$A385="","",
(VLOOKUP($G385,'nuevos productoss'!$A:$E,4,0))
),$C385)</f>
        <v>628360.78799999994</v>
      </c>
      <c r="N385" s="17">
        <f>IFERROR(
IF(
$A385="","",
(VLOOKUP($G385,'nuevos productoss'!$A:$E,5,0))
),$C385)</f>
        <v>532509.18000000005</v>
      </c>
      <c r="O385" s="17">
        <f t="shared" si="17"/>
        <v>95851.607999999891</v>
      </c>
    </row>
    <row r="386" spans="1:15" x14ac:dyDescent="0.3">
      <c r="A386" s="5" t="s">
        <v>699</v>
      </c>
      <c r="B386" s="20">
        <v>360</v>
      </c>
      <c r="C386" s="21">
        <v>822544.08600000001</v>
      </c>
      <c r="D386" s="18">
        <f t="shared" si="15"/>
        <v>822544.08600000001</v>
      </c>
      <c r="E386" s="21">
        <f t="shared" si="16"/>
        <v>781416.88170000003</v>
      </c>
      <c r="F386" s="18">
        <v>1</v>
      </c>
      <c r="G386" s="23" t="s">
        <v>700</v>
      </c>
      <c r="H386" s="22" t="s">
        <v>1051</v>
      </c>
      <c r="I386" s="22" t="s">
        <v>1052</v>
      </c>
      <c r="J386" s="22" t="s">
        <v>1344</v>
      </c>
      <c r="K386" s="11" t="s">
        <v>1467</v>
      </c>
      <c r="M386" s="17">
        <f>IFERROR(
IF(
$A386="","",
(VLOOKUP($G386,'nuevos productoss'!$A:$E,4,0))
),$C386)</f>
        <v>807551.04799999995</v>
      </c>
      <c r="N386" s="17">
        <f>IFERROR(
IF(
$A386="","",
(VLOOKUP($G386,'nuevos productoss'!$A:$E,5,0))
),$C386)</f>
        <v>684365.32</v>
      </c>
      <c r="O386" s="17">
        <f t="shared" si="17"/>
        <v>123185.728</v>
      </c>
    </row>
    <row r="387" spans="1:15" x14ac:dyDescent="0.3">
      <c r="A387" s="5" t="s">
        <v>701</v>
      </c>
      <c r="B387" s="20">
        <v>360</v>
      </c>
      <c r="C387" s="21">
        <v>907718.679</v>
      </c>
      <c r="D387" s="18">
        <f t="shared" ref="D387:D450" si="18">+C387</f>
        <v>907718.679</v>
      </c>
      <c r="E387" s="21">
        <f t="shared" ref="E387:E450" si="19">IF(
A387="","",
C387*0.95)</f>
        <v>862332.74504999991</v>
      </c>
      <c r="F387" s="18">
        <v>1</v>
      </c>
      <c r="G387" s="23" t="s">
        <v>702</v>
      </c>
      <c r="H387" s="22" t="s">
        <v>1051</v>
      </c>
      <c r="I387" s="22" t="s">
        <v>1052</v>
      </c>
      <c r="J387" s="22" t="s">
        <v>1345</v>
      </c>
      <c r="K387" s="11" t="s">
        <v>1467</v>
      </c>
      <c r="M387" s="17">
        <f>IFERROR(
IF(
$A387="","",
(VLOOKUP($G387,'nuevos productoss'!$A:$E,4,0))
),$C387)</f>
        <v>891173.26800000004</v>
      </c>
      <c r="N387" s="17">
        <f>IFERROR(
IF(
$A387="","",
(VLOOKUP($G387,'nuevos productoss'!$A:$E,5,0))
),$C387)</f>
        <v>755231.56799999997</v>
      </c>
      <c r="O387" s="17">
        <f t="shared" ref="O387:O450" si="20">IFERROR(M387-N387,0)</f>
        <v>135941.70000000007</v>
      </c>
    </row>
    <row r="388" spans="1:15" x14ac:dyDescent="0.3">
      <c r="A388" s="5" t="s">
        <v>703</v>
      </c>
      <c r="B388" s="20">
        <v>360</v>
      </c>
      <c r="C388" s="21">
        <v>1029396.753</v>
      </c>
      <c r="D388" s="18">
        <f t="shared" si="18"/>
        <v>1029396.753</v>
      </c>
      <c r="E388" s="21">
        <f t="shared" si="19"/>
        <v>977926.91535000002</v>
      </c>
      <c r="F388" s="18">
        <v>1</v>
      </c>
      <c r="G388" s="23" t="s">
        <v>704</v>
      </c>
      <c r="H388" s="22" t="s">
        <v>1051</v>
      </c>
      <c r="I388" s="22" t="s">
        <v>1052</v>
      </c>
      <c r="J388" s="22" t="s">
        <v>1344</v>
      </c>
      <c r="K388" s="11" t="s">
        <v>1467</v>
      </c>
      <c r="M388" s="17">
        <f>IFERROR(
IF(
$A388="","",
(VLOOKUP($G388,'nuevos productoss'!$A:$E,4,0))
),$C388)</f>
        <v>1010633.392</v>
      </c>
      <c r="N388" s="17">
        <f>IFERROR(
IF(
$A388="","",
(VLOOKUP($G388,'nuevos productoss'!$A:$E,5,0))
),$C388)</f>
        <v>856469.04399999999</v>
      </c>
      <c r="O388" s="17">
        <f t="shared" si="20"/>
        <v>154164.348</v>
      </c>
    </row>
    <row r="389" spans="1:15" x14ac:dyDescent="0.3">
      <c r="A389" s="5" t="s">
        <v>705</v>
      </c>
      <c r="B389" s="20">
        <v>360</v>
      </c>
      <c r="C389" s="21">
        <v>1006712.301</v>
      </c>
      <c r="D389" s="18">
        <f t="shared" si="18"/>
        <v>1006712.301</v>
      </c>
      <c r="E389" s="21">
        <f t="shared" si="19"/>
        <v>956376.68594999996</v>
      </c>
      <c r="F389" s="18">
        <v>1</v>
      </c>
      <c r="G389" s="23" t="s">
        <v>706</v>
      </c>
      <c r="H389" s="22" t="s">
        <v>1051</v>
      </c>
      <c r="I389" s="22" t="s">
        <v>1052</v>
      </c>
      <c r="J389" s="22" t="s">
        <v>1345</v>
      </c>
      <c r="K389" s="11" t="s">
        <v>1467</v>
      </c>
      <c r="M389" s="17">
        <f>IFERROR(
IF(
$A389="","",
(VLOOKUP($G389,'nuevos productoss'!$A:$E,4,0))
),$C389)</f>
        <v>988221.75199999998</v>
      </c>
      <c r="N389" s="17">
        <f>IFERROR(
IF(
$A389="","",
(VLOOKUP($G389,'nuevos productoss'!$A:$E,5,0))
),$C389)</f>
        <v>837476.05599999998</v>
      </c>
      <c r="O389" s="17">
        <f t="shared" si="20"/>
        <v>150745.696</v>
      </c>
    </row>
    <row r="390" spans="1:15" x14ac:dyDescent="0.3">
      <c r="A390" s="5" t="s">
        <v>707</v>
      </c>
      <c r="B390" s="20">
        <v>180</v>
      </c>
      <c r="C390" s="21">
        <v>8725.92</v>
      </c>
      <c r="D390" s="18">
        <f t="shared" si="18"/>
        <v>8725.92</v>
      </c>
      <c r="E390" s="21">
        <f t="shared" si="19"/>
        <v>8289.6239999999998</v>
      </c>
      <c r="F390" s="18">
        <v>1</v>
      </c>
      <c r="G390" s="23" t="s">
        <v>708</v>
      </c>
      <c r="H390" s="22" t="s">
        <v>1033</v>
      </c>
      <c r="I390" s="22" t="s">
        <v>1034</v>
      </c>
      <c r="J390" s="22" t="s">
        <v>1346</v>
      </c>
      <c r="K390" s="11" t="s">
        <v>1467</v>
      </c>
      <c r="M390" s="17">
        <f>IFERROR(
IF(
$A390="","",
(VLOOKUP($G390,'nuevos productoss'!$A:$E,4,0))
),$C390)</f>
        <v>10289.108</v>
      </c>
      <c r="N390" s="17">
        <f>IFERROR(
IF(
$A390="","",
(VLOOKUP($G390,'nuevos productoss'!$A:$E,5,0))
),$C390)</f>
        <v>8719.5679999999993</v>
      </c>
      <c r="O390" s="17">
        <f t="shared" si="20"/>
        <v>1569.5400000000009</v>
      </c>
    </row>
    <row r="391" spans="1:15" x14ac:dyDescent="0.3">
      <c r="A391" s="5" t="s">
        <v>709</v>
      </c>
      <c r="B391" s="20">
        <v>180</v>
      </c>
      <c r="C391" s="21">
        <v>9590.5740000000005</v>
      </c>
      <c r="D391" s="18">
        <f t="shared" si="18"/>
        <v>9590.5740000000005</v>
      </c>
      <c r="E391" s="21">
        <f t="shared" si="19"/>
        <v>9111.0452999999998</v>
      </c>
      <c r="F391" s="18">
        <v>1</v>
      </c>
      <c r="G391" s="23" t="s">
        <v>710</v>
      </c>
      <c r="H391" s="22" t="s">
        <v>1033</v>
      </c>
      <c r="I391" s="22" t="s">
        <v>1034</v>
      </c>
      <c r="J391" s="22" t="s">
        <v>1347</v>
      </c>
      <c r="K391" s="11" t="s">
        <v>1467</v>
      </c>
      <c r="M391" s="17">
        <f>IFERROR(
IF(
$A391="","",
(VLOOKUP($G391,'nuevos productoss'!$A:$E,4,0))
),$C391)</f>
        <v>12475.512000000001</v>
      </c>
      <c r="N391" s="17">
        <f>IFERROR(
IF(
$A391="","",
(VLOOKUP($G391,'nuevos productoss'!$A:$E,5,0))
),$C391)</f>
        <v>10572.38</v>
      </c>
      <c r="O391" s="17">
        <f t="shared" si="20"/>
        <v>1903.1320000000014</v>
      </c>
    </row>
    <row r="392" spans="1:15" x14ac:dyDescent="0.3">
      <c r="A392" s="5" t="s">
        <v>711</v>
      </c>
      <c r="B392" s="20">
        <v>180</v>
      </c>
      <c r="C392" s="21">
        <v>11896.563</v>
      </c>
      <c r="D392" s="18">
        <f t="shared" si="18"/>
        <v>11896.563</v>
      </c>
      <c r="E392" s="21">
        <f t="shared" si="19"/>
        <v>11301.734849999999</v>
      </c>
      <c r="F392" s="18">
        <v>1</v>
      </c>
      <c r="G392" s="23" t="s">
        <v>712</v>
      </c>
      <c r="H392" s="22" t="s">
        <v>1033</v>
      </c>
      <c r="I392" s="22" t="s">
        <v>1034</v>
      </c>
      <c r="J392" s="22" t="s">
        <v>1348</v>
      </c>
      <c r="K392" s="11" t="s">
        <v>1467</v>
      </c>
      <c r="M392" s="17">
        <f>IFERROR(
IF(
$A392="","",
(VLOOKUP($G392,'nuevos productoss'!$A:$E,4,0))
),$C392)</f>
        <v>15022</v>
      </c>
      <c r="N392" s="17">
        <f>IFERROR(
IF(
$A392="","",
(VLOOKUP($G392,'nuevos productoss'!$A:$E,5,0))
),$C392)</f>
        <v>12730.516</v>
      </c>
      <c r="O392" s="17">
        <f t="shared" si="20"/>
        <v>2291.4840000000004</v>
      </c>
    </row>
    <row r="393" spans="1:15" x14ac:dyDescent="0.3">
      <c r="A393" s="5" t="s">
        <v>713</v>
      </c>
      <c r="B393" s="20">
        <v>180</v>
      </c>
      <c r="C393" s="21">
        <v>19423.550999999999</v>
      </c>
      <c r="D393" s="18">
        <f t="shared" si="18"/>
        <v>19423.550999999999</v>
      </c>
      <c r="E393" s="21">
        <f t="shared" si="19"/>
        <v>18452.373449999999</v>
      </c>
      <c r="F393" s="18">
        <v>1</v>
      </c>
      <c r="G393" s="23" t="s">
        <v>714</v>
      </c>
      <c r="H393" s="22" t="s">
        <v>1033</v>
      </c>
      <c r="I393" s="22" t="s">
        <v>1034</v>
      </c>
      <c r="J393" s="22" t="s">
        <v>1349</v>
      </c>
      <c r="K393" s="11" t="s">
        <v>1467</v>
      </c>
      <c r="M393" s="17">
        <f>IFERROR(
IF(
$A393="","",
(VLOOKUP($G393,'nuevos productoss'!$A:$E,4,0))
),$C393)</f>
        <v>22444.2</v>
      </c>
      <c r="N393" s="17">
        <f>IFERROR(
IF(
$A393="","",
(VLOOKUP($G393,'nuevos productoss'!$A:$E,5,0))
),$C393)</f>
        <v>19020.516</v>
      </c>
      <c r="O393" s="17">
        <f t="shared" si="20"/>
        <v>3423.6840000000011</v>
      </c>
    </row>
    <row r="394" spans="1:15" x14ac:dyDescent="0.3">
      <c r="A394" s="5" t="s">
        <v>715</v>
      </c>
      <c r="B394" s="20">
        <v>15</v>
      </c>
      <c r="C394" s="21">
        <v>862.74300000000005</v>
      </c>
      <c r="D394" s="18">
        <f t="shared" si="18"/>
        <v>862.74300000000005</v>
      </c>
      <c r="E394" s="21">
        <f t="shared" si="19"/>
        <v>819.60585000000003</v>
      </c>
      <c r="F394" s="18">
        <v>1</v>
      </c>
      <c r="G394" s="23" t="s">
        <v>716</v>
      </c>
      <c r="H394" s="22" t="s">
        <v>1055</v>
      </c>
      <c r="I394" s="22" t="s">
        <v>1070</v>
      </c>
      <c r="J394" s="22" t="s">
        <v>1350</v>
      </c>
      <c r="K394" s="11" t="s">
        <v>1467</v>
      </c>
      <c r="M394" s="17">
        <f>IFERROR(
IF(
$A394="","",
(VLOOKUP($G394,'nuevos productoss'!$A:$E,4,0))
),$C394)</f>
        <v>847.3</v>
      </c>
      <c r="N394" s="17">
        <f>IFERROR(
IF(
$A394="","",
(VLOOKUP($G394,'nuevos productoss'!$A:$E,5,0))
),$C394)</f>
        <v>718.096</v>
      </c>
      <c r="O394" s="17">
        <f t="shared" si="20"/>
        <v>129.20399999999995</v>
      </c>
    </row>
    <row r="395" spans="1:15" x14ac:dyDescent="0.3">
      <c r="A395" s="5" t="s">
        <v>717</v>
      </c>
      <c r="B395" s="20">
        <v>15</v>
      </c>
      <c r="C395" s="21">
        <v>4173.6239999999998</v>
      </c>
      <c r="D395" s="18">
        <f t="shared" si="18"/>
        <v>4173.6239999999998</v>
      </c>
      <c r="E395" s="21">
        <f t="shared" si="19"/>
        <v>3964.9427999999998</v>
      </c>
      <c r="F395" s="18">
        <v>1</v>
      </c>
      <c r="G395" s="23" t="s">
        <v>718</v>
      </c>
      <c r="H395" s="22" t="s">
        <v>1055</v>
      </c>
      <c r="I395" s="22" t="s">
        <v>1070</v>
      </c>
      <c r="J395" s="22" t="s">
        <v>1351</v>
      </c>
      <c r="K395" s="11" t="s">
        <v>1467</v>
      </c>
      <c r="M395" s="17">
        <f>IFERROR(
IF(
$A395="","",
(VLOOKUP($G395,'nuevos productoss'!$A:$E,4,0))
),$C395)</f>
        <v>4098.12</v>
      </c>
      <c r="N395" s="17">
        <f>IFERROR(
IF(
$A395="","",
(VLOOKUP($G395,'nuevos productoss'!$A:$E,5,0))
),$C395)</f>
        <v>3472.9679999999998</v>
      </c>
      <c r="O395" s="17">
        <f t="shared" si="20"/>
        <v>625.15200000000004</v>
      </c>
    </row>
    <row r="396" spans="1:15" x14ac:dyDescent="0.3">
      <c r="A396" s="5" t="s">
        <v>719</v>
      </c>
      <c r="B396" s="20">
        <v>15</v>
      </c>
      <c r="C396" s="21">
        <v>26413.547999999999</v>
      </c>
      <c r="D396" s="18">
        <f t="shared" si="18"/>
        <v>26413.547999999999</v>
      </c>
      <c r="E396" s="21">
        <f t="shared" si="19"/>
        <v>25092.870599999998</v>
      </c>
      <c r="F396" s="18">
        <v>1</v>
      </c>
      <c r="G396" s="23" t="s">
        <v>720</v>
      </c>
      <c r="H396" s="22" t="s">
        <v>1046</v>
      </c>
      <c r="I396" s="22" t="s">
        <v>1050</v>
      </c>
      <c r="J396" s="22" t="s">
        <v>1352</v>
      </c>
      <c r="K396" s="11" t="s">
        <v>1467</v>
      </c>
      <c r="M396" s="17">
        <f>IFERROR(
IF(
$A396="","",
(VLOOKUP($G396,'nuevos productoss'!$A:$E,4,0))
),$C396)</f>
        <v>25928.416000000001</v>
      </c>
      <c r="N396" s="17">
        <f>IFERROR(
IF(
$A396="","",
(VLOOKUP($G396,'nuevos productoss'!$A:$E,5,0))
),$C396)</f>
        <v>21973.263999999999</v>
      </c>
      <c r="O396" s="17">
        <f t="shared" si="20"/>
        <v>3955.1520000000019</v>
      </c>
    </row>
    <row r="397" spans="1:15" x14ac:dyDescent="0.3">
      <c r="A397" s="5" t="s">
        <v>721</v>
      </c>
      <c r="B397" s="20">
        <v>720</v>
      </c>
      <c r="C397" s="21">
        <v>6280.5749999999998</v>
      </c>
      <c r="D397" s="18">
        <f t="shared" si="18"/>
        <v>6280.5749999999998</v>
      </c>
      <c r="E397" s="21">
        <f t="shared" si="19"/>
        <v>5966.5462499999994</v>
      </c>
      <c r="F397" s="18">
        <v>1</v>
      </c>
      <c r="G397" s="23" t="s">
        <v>722</v>
      </c>
      <c r="H397" s="22" t="s">
        <v>1046</v>
      </c>
      <c r="I397" s="22" t="s">
        <v>1047</v>
      </c>
      <c r="J397" s="22" t="s">
        <v>1353</v>
      </c>
      <c r="K397" s="11" t="s">
        <v>1467</v>
      </c>
      <c r="M397" s="17">
        <f>IFERROR(
IF(
$A397="","",
(VLOOKUP($G397,'nuevos productoss'!$A:$E,4,0))
),$C397)</f>
        <v>6165.2359999999999</v>
      </c>
      <c r="N397" s="17">
        <f>IFERROR(
IF(
$A397="","",
(VLOOKUP($G397,'nuevos productoss'!$A:$E,5,0))
),$C397)</f>
        <v>5224.6959999999999</v>
      </c>
      <c r="O397" s="17">
        <f t="shared" si="20"/>
        <v>940.54</v>
      </c>
    </row>
    <row r="398" spans="1:15" x14ac:dyDescent="0.3">
      <c r="A398" s="5" t="s">
        <v>723</v>
      </c>
      <c r="B398" s="20">
        <v>360</v>
      </c>
      <c r="C398" s="21">
        <v>15967.581</v>
      </c>
      <c r="D398" s="18">
        <f t="shared" si="18"/>
        <v>15967.581</v>
      </c>
      <c r="E398" s="21">
        <f t="shared" si="19"/>
        <v>15169.201949999999</v>
      </c>
      <c r="F398" s="18">
        <v>1</v>
      </c>
      <c r="G398" s="23" t="s">
        <v>724</v>
      </c>
      <c r="H398" s="22" t="s">
        <v>1046</v>
      </c>
      <c r="I398" s="22" t="s">
        <v>1047</v>
      </c>
      <c r="J398" s="22" t="s">
        <v>1354</v>
      </c>
      <c r="K398" s="11" t="s">
        <v>1467</v>
      </c>
      <c r="M398" s="17">
        <f>IFERROR(
IF(
$A398="","",
(VLOOKUP($G398,'nuevos productoss'!$A:$E,4,0))
),$C398)</f>
        <v>15676.603999999999</v>
      </c>
      <c r="N398" s="17">
        <f>IFERROR(
IF(
$A398="","",
(VLOOKUP($G398,'nuevos productoss'!$A:$E,5,0))
),$C398)</f>
        <v>13285.22</v>
      </c>
      <c r="O398" s="17">
        <f t="shared" si="20"/>
        <v>2391.384</v>
      </c>
    </row>
    <row r="399" spans="1:15" x14ac:dyDescent="0.3">
      <c r="A399" s="5" t="s">
        <v>725</v>
      </c>
      <c r="B399" s="20">
        <v>720</v>
      </c>
      <c r="C399" s="21">
        <v>15967.581</v>
      </c>
      <c r="D399" s="18">
        <f t="shared" si="18"/>
        <v>15967.581</v>
      </c>
      <c r="E399" s="21">
        <f t="shared" si="19"/>
        <v>15169.201949999999</v>
      </c>
      <c r="F399" s="18">
        <v>1</v>
      </c>
      <c r="G399" s="23" t="s">
        <v>726</v>
      </c>
      <c r="H399" s="22" t="s">
        <v>1046</v>
      </c>
      <c r="I399" s="22" t="s">
        <v>1047</v>
      </c>
      <c r="J399" s="22" t="s">
        <v>1355</v>
      </c>
      <c r="K399" s="11" t="s">
        <v>1467</v>
      </c>
      <c r="M399" s="17">
        <f>IFERROR(
IF(
$A399="","",
(VLOOKUP($G399,'nuevos productoss'!$A:$E,4,0))
),$C399)</f>
        <v>15676.603999999999</v>
      </c>
      <c r="N399" s="17">
        <f>IFERROR(
IF(
$A399="","",
(VLOOKUP($G399,'nuevos productoss'!$A:$E,5,0))
),$C399)</f>
        <v>13285.22</v>
      </c>
      <c r="O399" s="17">
        <f t="shared" si="20"/>
        <v>2391.384</v>
      </c>
    </row>
    <row r="400" spans="1:15" x14ac:dyDescent="0.3">
      <c r="A400" s="5" t="s">
        <v>727</v>
      </c>
      <c r="B400" s="20">
        <v>720</v>
      </c>
      <c r="C400" s="21">
        <v>25844.364000000001</v>
      </c>
      <c r="D400" s="18">
        <f t="shared" si="18"/>
        <v>25844.364000000001</v>
      </c>
      <c r="E400" s="21">
        <f t="shared" si="19"/>
        <v>24552.145799999998</v>
      </c>
      <c r="F400" s="18">
        <v>1</v>
      </c>
      <c r="G400" s="23" t="s">
        <v>728</v>
      </c>
      <c r="H400" s="22" t="s">
        <v>1046</v>
      </c>
      <c r="I400" s="22" t="s">
        <v>1047</v>
      </c>
      <c r="J400" s="22" t="s">
        <v>1356</v>
      </c>
      <c r="K400" s="11" t="s">
        <v>1467</v>
      </c>
      <c r="M400" s="17">
        <f>IFERROR(
IF(
$A400="","",
(VLOOKUP($G400,'nuevos productoss'!$A:$E,4,0))
),$C400)</f>
        <v>25205.288</v>
      </c>
      <c r="N400" s="17">
        <f>IFERROR(
IF(
$A400="","",
(VLOOKUP($G400,'nuevos productoss'!$A:$E,5,0))
),$C400)</f>
        <v>21360.396000000001</v>
      </c>
      <c r="O400" s="17">
        <f t="shared" si="20"/>
        <v>3844.8919999999998</v>
      </c>
    </row>
    <row r="401" spans="1:15" x14ac:dyDescent="0.3">
      <c r="A401" s="5" t="s">
        <v>729</v>
      </c>
      <c r="B401" s="20">
        <v>360</v>
      </c>
      <c r="C401" s="21">
        <v>17829.923999999999</v>
      </c>
      <c r="D401" s="18">
        <f t="shared" si="18"/>
        <v>17829.923999999999</v>
      </c>
      <c r="E401" s="21">
        <f t="shared" si="19"/>
        <v>16938.427799999998</v>
      </c>
      <c r="F401" s="18">
        <v>1</v>
      </c>
      <c r="G401" s="23" t="s">
        <v>730</v>
      </c>
      <c r="H401" s="22" t="s">
        <v>1046</v>
      </c>
      <c r="I401" s="22" t="s">
        <v>1047</v>
      </c>
      <c r="J401" s="22" t="s">
        <v>1357</v>
      </c>
      <c r="K401" s="11" t="s">
        <v>1467</v>
      </c>
      <c r="M401" s="17">
        <f>IFERROR(
IF(
$A401="","",
(VLOOKUP($G401,'nuevos productoss'!$A:$E,4,0))
),$C401)</f>
        <v>17502.48</v>
      </c>
      <c r="N401" s="17">
        <f>IFERROR(
IF(
$A401="","",
(VLOOKUP($G401,'nuevos productoss'!$A:$E,5,0))
),$C401)</f>
        <v>14832.56</v>
      </c>
      <c r="O401" s="17">
        <f t="shared" si="20"/>
        <v>2669.92</v>
      </c>
    </row>
    <row r="402" spans="1:15" x14ac:dyDescent="0.3">
      <c r="A402" s="5" t="s">
        <v>731</v>
      </c>
      <c r="B402" s="20">
        <v>720</v>
      </c>
      <c r="C402" s="21">
        <v>17671.164000000001</v>
      </c>
      <c r="D402" s="18">
        <f t="shared" si="18"/>
        <v>17671.164000000001</v>
      </c>
      <c r="E402" s="21">
        <f t="shared" si="19"/>
        <v>16787.605800000001</v>
      </c>
      <c r="F402" s="18">
        <v>1</v>
      </c>
      <c r="G402" s="23" t="s">
        <v>732</v>
      </c>
      <c r="H402" s="22" t="s">
        <v>1046</v>
      </c>
      <c r="I402" s="22" t="s">
        <v>1047</v>
      </c>
      <c r="J402" s="22" t="s">
        <v>1358</v>
      </c>
      <c r="K402" s="11" t="s">
        <v>1467</v>
      </c>
      <c r="M402" s="17">
        <f>IFERROR(
IF(
$A402="","",
(VLOOKUP($G402,'nuevos productoss'!$A:$E,4,0))
),$C402)</f>
        <v>17347.82</v>
      </c>
      <c r="N402" s="17">
        <f>IFERROR(
IF(
$A402="","",
(VLOOKUP($G402,'nuevos productoss'!$A:$E,5,0))
),$C402)</f>
        <v>14701.58</v>
      </c>
      <c r="O402" s="17">
        <f t="shared" si="20"/>
        <v>2646.24</v>
      </c>
    </row>
    <row r="403" spans="1:15" x14ac:dyDescent="0.3">
      <c r="B403" s="20"/>
      <c r="C403" s="21"/>
      <c r="D403" s="18">
        <f t="shared" si="18"/>
        <v>0</v>
      </c>
      <c r="E403" s="21" t="str">
        <f t="shared" si="19"/>
        <v/>
      </c>
      <c r="F403" s="18"/>
      <c r="G403" s="5"/>
      <c r="H403" s="22" t="s">
        <v>1865</v>
      </c>
      <c r="I403" s="22" t="s">
        <v>1865</v>
      </c>
      <c r="J403" s="22" t="s">
        <v>1865</v>
      </c>
      <c r="K403" s="11" t="s">
        <v>1467</v>
      </c>
      <c r="M403" s="17" t="str">
        <f>IFERROR(
IF(
$A403="","",
(VLOOKUP($G403,'nuevos productoss'!$A:$E,4,0))
),$C403)</f>
        <v/>
      </c>
      <c r="N403" s="17" t="str">
        <f>IFERROR(
IF(
$A403="","",
(VLOOKUP($G403,'nuevos productoss'!$A:$E,5,0))
),$C403)</f>
        <v/>
      </c>
      <c r="O403" s="17">
        <f t="shared" si="20"/>
        <v>0</v>
      </c>
    </row>
    <row r="404" spans="1:15" x14ac:dyDescent="0.3">
      <c r="A404" s="5" t="s">
        <v>733</v>
      </c>
      <c r="B404" s="20">
        <v>360</v>
      </c>
      <c r="C404" s="21">
        <v>30818.55</v>
      </c>
      <c r="D404" s="18">
        <f t="shared" si="18"/>
        <v>30818.55</v>
      </c>
      <c r="E404" s="21">
        <f t="shared" si="19"/>
        <v>29277.622499999998</v>
      </c>
      <c r="F404" s="18">
        <v>1</v>
      </c>
      <c r="G404" s="23" t="s">
        <v>734</v>
      </c>
      <c r="H404" s="22" t="s">
        <v>1046</v>
      </c>
      <c r="I404" s="22" t="s">
        <v>1047</v>
      </c>
      <c r="J404" s="22" t="s">
        <v>1359</v>
      </c>
      <c r="K404" s="11" t="s">
        <v>1467</v>
      </c>
      <c r="M404" s="17">
        <f>IFERROR(
IF(
$A404="","",
(VLOOKUP($G404,'nuevos productoss'!$A:$E,4,0))
),$C404)</f>
        <v>30252.531999999999</v>
      </c>
      <c r="N404" s="17">
        <f>IFERROR(
IF(
$A404="","",
(VLOOKUP($G404,'nuevos productoss'!$A:$E,5,0))
),$C404)</f>
        <v>25637.743999999999</v>
      </c>
      <c r="O404" s="17">
        <f t="shared" si="20"/>
        <v>4614.7880000000005</v>
      </c>
    </row>
    <row r="405" spans="1:15" x14ac:dyDescent="0.3">
      <c r="B405" s="20"/>
      <c r="C405" s="21"/>
      <c r="D405" s="18">
        <f t="shared" si="18"/>
        <v>0</v>
      </c>
      <c r="E405" s="21" t="str">
        <f t="shared" si="19"/>
        <v/>
      </c>
      <c r="F405" s="18"/>
      <c r="G405" s="5"/>
      <c r="H405" s="22" t="s">
        <v>1865</v>
      </c>
      <c r="I405" s="22" t="s">
        <v>1865</v>
      </c>
      <c r="J405" s="22" t="s">
        <v>1865</v>
      </c>
      <c r="K405" s="11" t="s">
        <v>1467</v>
      </c>
      <c r="M405" s="17" t="str">
        <f>IFERROR(
IF(
$A405="","",
(VLOOKUP($G405,'nuevos productoss'!$A:$E,4,0))
),$C405)</f>
        <v/>
      </c>
      <c r="N405" s="17" t="str">
        <f>IFERROR(
IF(
$A405="","",
(VLOOKUP($G405,'nuevos productoss'!$A:$E,5,0))
),$C405)</f>
        <v/>
      </c>
      <c r="O405" s="17">
        <f t="shared" si="20"/>
        <v>0</v>
      </c>
    </row>
    <row r="406" spans="1:15" x14ac:dyDescent="0.3">
      <c r="A406" s="5" t="s">
        <v>735</v>
      </c>
      <c r="B406" s="20">
        <v>720</v>
      </c>
      <c r="C406" s="21">
        <v>12946.143</v>
      </c>
      <c r="D406" s="18">
        <f t="shared" si="18"/>
        <v>12946.143</v>
      </c>
      <c r="E406" s="21">
        <f t="shared" si="19"/>
        <v>12298.835849999999</v>
      </c>
      <c r="F406" s="18">
        <v>1</v>
      </c>
      <c r="G406" s="23" t="s">
        <v>736</v>
      </c>
      <c r="H406" s="22" t="s">
        <v>1046</v>
      </c>
      <c r="I406" s="22" t="s">
        <v>1047</v>
      </c>
      <c r="J406" s="22" t="s">
        <v>1360</v>
      </c>
      <c r="K406" s="11" t="s">
        <v>1467</v>
      </c>
      <c r="M406" s="17">
        <f>IFERROR(
IF(
$A406="","",
(VLOOKUP($G406,'nuevos productoss'!$A:$E,4,0))
),$C406)</f>
        <v>12708.316000000001</v>
      </c>
      <c r="N406" s="17">
        <f>IFERROR(
IF(
$A406="","",
(VLOOKUP($G406,'nuevos productoss'!$A:$E,5,0))
),$C406)</f>
        <v>10769.812</v>
      </c>
      <c r="O406" s="17">
        <f t="shared" si="20"/>
        <v>1938.5040000000008</v>
      </c>
    </row>
    <row r="407" spans="1:15" x14ac:dyDescent="0.3">
      <c r="A407" s="5" t="s">
        <v>737</v>
      </c>
      <c r="B407" s="20">
        <v>720</v>
      </c>
      <c r="C407" s="21">
        <v>26087.942999999999</v>
      </c>
      <c r="D407" s="18">
        <f t="shared" si="18"/>
        <v>26087.942999999999</v>
      </c>
      <c r="E407" s="21">
        <f t="shared" si="19"/>
        <v>24783.545849999999</v>
      </c>
      <c r="F407" s="18">
        <v>1</v>
      </c>
      <c r="G407" s="23" t="s">
        <v>738</v>
      </c>
      <c r="H407" s="22" t="s">
        <v>1046</v>
      </c>
      <c r="I407" s="22" t="s">
        <v>1047</v>
      </c>
      <c r="J407" s="22" t="s">
        <v>1361</v>
      </c>
      <c r="K407" s="11" t="s">
        <v>1467</v>
      </c>
      <c r="M407" s="17">
        <f>IFERROR(
IF(
$A407="","",
(VLOOKUP($G407,'nuevos productoss'!$A:$E,4,0))
),$C407)</f>
        <v>25606.812000000002</v>
      </c>
      <c r="N407" s="17">
        <f>IFERROR(
IF(
$A407="","",
(VLOOKUP($G407,'nuevos productoss'!$A:$E,5,0))
),$C407)</f>
        <v>21700.795999999998</v>
      </c>
      <c r="O407" s="17">
        <f t="shared" si="20"/>
        <v>3906.0160000000033</v>
      </c>
    </row>
    <row r="408" spans="1:15" x14ac:dyDescent="0.3">
      <c r="A408" s="5" t="s">
        <v>739</v>
      </c>
      <c r="B408" s="20">
        <v>720</v>
      </c>
      <c r="C408" s="21">
        <v>31676.001</v>
      </c>
      <c r="D408" s="18">
        <f t="shared" si="18"/>
        <v>31676.001</v>
      </c>
      <c r="E408" s="21">
        <f t="shared" si="19"/>
        <v>30092.200949999999</v>
      </c>
      <c r="F408" s="18">
        <v>1</v>
      </c>
      <c r="G408" s="23" t="s">
        <v>740</v>
      </c>
      <c r="H408" s="22" t="s">
        <v>1046</v>
      </c>
      <c r="I408" s="22" t="s">
        <v>1047</v>
      </c>
      <c r="J408" s="22" t="s">
        <v>1362</v>
      </c>
      <c r="K408" s="11" t="s">
        <v>1467</v>
      </c>
      <c r="M408" s="17">
        <f>IFERROR(
IF(
$A408="","",
(VLOOKUP($G408,'nuevos productoss'!$A:$E,4,0))
),$C408)</f>
        <v>31094.207999999999</v>
      </c>
      <c r="N408" s="17">
        <f>IFERROR(
IF(
$A408="","",
(VLOOKUP($G408,'nuevos productoss'!$A:$E,5,0))
),$C408)</f>
        <v>26351.103999999999</v>
      </c>
      <c r="O408" s="17">
        <f t="shared" si="20"/>
        <v>4743.1039999999994</v>
      </c>
    </row>
    <row r="409" spans="1:15" x14ac:dyDescent="0.3">
      <c r="A409" s="5" t="s">
        <v>741</v>
      </c>
      <c r="B409" s="20">
        <v>180</v>
      </c>
      <c r="C409" s="21">
        <v>25485.537</v>
      </c>
      <c r="D409" s="18">
        <f t="shared" si="18"/>
        <v>25485.537</v>
      </c>
      <c r="E409" s="21">
        <f t="shared" si="19"/>
        <v>24211.260149999998</v>
      </c>
      <c r="F409" s="18">
        <v>1</v>
      </c>
      <c r="G409" s="23" t="s">
        <v>742</v>
      </c>
      <c r="H409" s="22" t="s">
        <v>1046</v>
      </c>
      <c r="I409" s="22" t="s">
        <v>1047</v>
      </c>
      <c r="J409" s="22" t="s">
        <v>1363</v>
      </c>
      <c r="K409" s="11" t="s">
        <v>1467</v>
      </c>
      <c r="M409" s="17">
        <f>IFERROR(
IF(
$A409="","",
(VLOOKUP($G409,'nuevos productoss'!$A:$E,4,0))
),$C409)</f>
        <v>25017.328000000001</v>
      </c>
      <c r="N409" s="17">
        <f>IFERROR(
IF(
$A409="","",
(VLOOKUP($G409,'nuevos productoss'!$A:$E,5,0))
),$C409)</f>
        <v>21201.148000000001</v>
      </c>
      <c r="O409" s="17">
        <f t="shared" si="20"/>
        <v>3816.1800000000003</v>
      </c>
    </row>
    <row r="410" spans="1:15" x14ac:dyDescent="0.3">
      <c r="A410" s="5" t="s">
        <v>743</v>
      </c>
      <c r="B410" s="20">
        <v>180</v>
      </c>
      <c r="C410" s="21">
        <v>20962.641</v>
      </c>
      <c r="D410" s="18">
        <f t="shared" si="18"/>
        <v>20962.641</v>
      </c>
      <c r="E410" s="21">
        <f t="shared" si="19"/>
        <v>19914.508949999999</v>
      </c>
      <c r="F410" s="18">
        <v>1</v>
      </c>
      <c r="G410" s="23" t="s">
        <v>744</v>
      </c>
      <c r="H410" s="22" t="s">
        <v>1046</v>
      </c>
      <c r="I410" s="22" t="s">
        <v>1047</v>
      </c>
      <c r="J410" s="22" t="s">
        <v>1364</v>
      </c>
      <c r="K410" s="11" t="s">
        <v>1467</v>
      </c>
      <c r="M410" s="17">
        <f>IFERROR(
IF(
$A410="","",
(VLOOKUP($G410,'nuevos productoss'!$A:$E,4,0))
),$C410)</f>
        <v>19965.495999999999</v>
      </c>
      <c r="N410" s="17">
        <f>IFERROR(
IF(
$A410="","",
(VLOOKUP($G410,'nuevos productoss'!$A:$E,5,0))
),$C410)</f>
        <v>16919.804</v>
      </c>
      <c r="O410" s="17">
        <f t="shared" si="20"/>
        <v>3045.6919999999991</v>
      </c>
    </row>
    <row r="411" spans="1:15" x14ac:dyDescent="0.3">
      <c r="A411" s="5" t="s">
        <v>745</v>
      </c>
      <c r="B411" s="20">
        <v>180</v>
      </c>
      <c r="C411" s="21">
        <v>25178.600999999999</v>
      </c>
      <c r="D411" s="18">
        <f t="shared" si="18"/>
        <v>25178.600999999999</v>
      </c>
      <c r="E411" s="21">
        <f t="shared" si="19"/>
        <v>23919.670949999996</v>
      </c>
      <c r="F411" s="18">
        <v>1</v>
      </c>
      <c r="G411" s="23" t="s">
        <v>746</v>
      </c>
      <c r="H411" s="22" t="s">
        <v>1046</v>
      </c>
      <c r="I411" s="22" t="s">
        <v>1047</v>
      </c>
      <c r="J411" s="22" t="s">
        <v>1365</v>
      </c>
      <c r="K411" s="11" t="s">
        <v>1467</v>
      </c>
      <c r="M411" s="17">
        <f>IFERROR(
IF(
$A411="","",
(VLOOKUP($G411,'nuevos productoss'!$A:$E,4,0))
),$C411)</f>
        <v>24716.148000000001</v>
      </c>
      <c r="N411" s="17">
        <f>IFERROR(
IF(
$A411="","",
(VLOOKUP($G411,'nuevos productoss'!$A:$E,5,0))
),$C411)</f>
        <v>20945.848000000002</v>
      </c>
      <c r="O411" s="17">
        <f t="shared" si="20"/>
        <v>3770.2999999999993</v>
      </c>
    </row>
    <row r="412" spans="1:15" x14ac:dyDescent="0.3">
      <c r="A412" s="5" t="s">
        <v>747</v>
      </c>
      <c r="B412" s="20">
        <v>180</v>
      </c>
      <c r="C412" s="21">
        <v>40681.074000000001</v>
      </c>
      <c r="D412" s="18">
        <f t="shared" si="18"/>
        <v>40681.074000000001</v>
      </c>
      <c r="E412" s="21">
        <f t="shared" si="19"/>
        <v>38647.020299999996</v>
      </c>
      <c r="F412" s="18">
        <v>1</v>
      </c>
      <c r="G412" s="23" t="s">
        <v>748</v>
      </c>
      <c r="H412" s="22" t="s">
        <v>1046</v>
      </c>
      <c r="I412" s="22" t="s">
        <v>1047</v>
      </c>
      <c r="J412" s="22" t="s">
        <v>1363</v>
      </c>
      <c r="K412" s="11" t="s">
        <v>1467</v>
      </c>
      <c r="M412" s="17">
        <f>IFERROR(
IF(
$A412="","",
(VLOOKUP($G412,'nuevos productoss'!$A:$E,4,0))
),$C412)</f>
        <v>39933.803999999996</v>
      </c>
      <c r="N412" s="17">
        <f>IFERROR(
IF(
$A412="","",
(VLOOKUP($G412,'nuevos productoss'!$A:$E,5,0))
),$C412)</f>
        <v>33842.271999999997</v>
      </c>
      <c r="O412" s="17">
        <f t="shared" si="20"/>
        <v>6091.5319999999992</v>
      </c>
    </row>
    <row r="413" spans="1:15" x14ac:dyDescent="0.3">
      <c r="A413" s="5" t="s">
        <v>749</v>
      </c>
      <c r="B413" s="20">
        <v>360</v>
      </c>
      <c r="C413" s="21">
        <v>20512.968000000001</v>
      </c>
      <c r="D413" s="18">
        <f t="shared" si="18"/>
        <v>20512.968000000001</v>
      </c>
      <c r="E413" s="21">
        <f t="shared" si="19"/>
        <v>19487.319599999999</v>
      </c>
      <c r="F413" s="18">
        <v>1</v>
      </c>
      <c r="G413" s="23" t="s">
        <v>750</v>
      </c>
      <c r="H413" s="22" t="s">
        <v>1046</v>
      </c>
      <c r="I413" s="22" t="s">
        <v>1047</v>
      </c>
      <c r="J413" s="22" t="s">
        <v>1366</v>
      </c>
      <c r="K413" s="11" t="s">
        <v>1467</v>
      </c>
      <c r="M413" s="17">
        <f>IFERROR(
IF(
$A413="","",
(VLOOKUP($G413,'nuevos productoss'!$A:$E,4,0))
),$C413)</f>
        <v>18242.331999999999</v>
      </c>
      <c r="N413" s="17">
        <f>IFERROR(
IF(
$A413="","",
(VLOOKUP($G413,'nuevos productoss'!$A:$E,5,0))
),$C413)</f>
        <v>15459.487999999999</v>
      </c>
      <c r="O413" s="17">
        <f t="shared" si="20"/>
        <v>2782.8439999999991</v>
      </c>
    </row>
    <row r="414" spans="1:15" x14ac:dyDescent="0.3">
      <c r="A414" s="5" t="s">
        <v>751</v>
      </c>
      <c r="B414" s="20">
        <v>180</v>
      </c>
      <c r="C414" s="21">
        <v>5046.6570000000002</v>
      </c>
      <c r="D414" s="18">
        <f t="shared" si="18"/>
        <v>5046.6570000000002</v>
      </c>
      <c r="E414" s="21">
        <f t="shared" si="19"/>
        <v>4794.3241500000004</v>
      </c>
      <c r="F414" s="18">
        <v>1</v>
      </c>
      <c r="G414" s="23" t="s">
        <v>752</v>
      </c>
      <c r="H414" s="22" t="s">
        <v>1046</v>
      </c>
      <c r="I414" s="22" t="s">
        <v>1047</v>
      </c>
      <c r="J414" s="22" t="s">
        <v>1367</v>
      </c>
      <c r="K414" s="11" t="s">
        <v>1467</v>
      </c>
      <c r="M414" s="17">
        <f>IFERROR(
IF(
$A414="","",
(VLOOKUP($G414,'nuevos productoss'!$A:$E,4,0))
),$C414)</f>
        <v>4956.3720000000003</v>
      </c>
      <c r="N414" s="17">
        <f>IFERROR(
IF(
$A414="","",
(VLOOKUP($G414,'nuevos productoss'!$A:$E,5,0))
),$C414)</f>
        <v>4200.24</v>
      </c>
      <c r="O414" s="17">
        <f t="shared" si="20"/>
        <v>756.13200000000052</v>
      </c>
    </row>
    <row r="415" spans="1:15" x14ac:dyDescent="0.3">
      <c r="A415" s="5" t="s">
        <v>753</v>
      </c>
      <c r="B415" s="20">
        <v>360</v>
      </c>
      <c r="C415" s="21">
        <v>40883.786999999997</v>
      </c>
      <c r="D415" s="18">
        <f t="shared" si="18"/>
        <v>40883.786999999997</v>
      </c>
      <c r="E415" s="21">
        <f t="shared" si="19"/>
        <v>38839.597649999996</v>
      </c>
      <c r="F415" s="18">
        <v>1</v>
      </c>
      <c r="G415" s="23" t="s">
        <v>754</v>
      </c>
      <c r="H415" s="22" t="s">
        <v>1058</v>
      </c>
      <c r="I415" s="22" t="s">
        <v>1029</v>
      </c>
      <c r="J415" s="22" t="s">
        <v>1368</v>
      </c>
      <c r="K415" s="11" t="s">
        <v>1467</v>
      </c>
      <c r="M415" s="17">
        <f>IFERROR(
IF(
$A415="","",
(VLOOKUP($G415,'nuevos productoss'!$A:$E,4,0))
),$C415)</f>
        <v>40138.635999999999</v>
      </c>
      <c r="N415" s="17">
        <f>IFERROR(
IF(
$A415="","",
(VLOOKUP($G415,'nuevos productoss'!$A:$E,5,0))
),$C415)</f>
        <v>34015.728000000003</v>
      </c>
      <c r="O415" s="17">
        <f t="shared" si="20"/>
        <v>6122.9079999999958</v>
      </c>
    </row>
    <row r="416" spans="1:15" x14ac:dyDescent="0.3">
      <c r="A416" s="5" t="s">
        <v>755</v>
      </c>
      <c r="B416" s="20">
        <v>15</v>
      </c>
      <c r="C416" s="21">
        <v>209631.408</v>
      </c>
      <c r="D416" s="18">
        <f t="shared" si="18"/>
        <v>209631.408</v>
      </c>
      <c r="E416" s="21">
        <f t="shared" si="19"/>
        <v>199149.8376</v>
      </c>
      <c r="F416" s="18">
        <v>1</v>
      </c>
      <c r="G416" s="23" t="s">
        <v>756</v>
      </c>
      <c r="H416" s="22" t="s">
        <v>1033</v>
      </c>
      <c r="I416" s="22" t="s">
        <v>1028</v>
      </c>
      <c r="J416" s="22" t="s">
        <v>1369</v>
      </c>
      <c r="K416" s="11" t="s">
        <v>1467</v>
      </c>
      <c r="M416" s="17">
        <f>IFERROR(
IF(
$A416="","",
(VLOOKUP($G416,'nuevos productoss'!$A:$E,4,0))
),$C416)</f>
        <v>205780.976</v>
      </c>
      <c r="N416" s="17">
        <f>IFERROR(
IF(
$A416="","",
(VLOOKUP($G416,'nuevos productoss'!$A:$E,5,0))
),$C416)</f>
        <v>174390.62</v>
      </c>
      <c r="O416" s="17">
        <f t="shared" si="20"/>
        <v>31390.356</v>
      </c>
    </row>
    <row r="417" spans="1:15" x14ac:dyDescent="0.3">
      <c r="A417" s="5" t="s">
        <v>757</v>
      </c>
      <c r="B417" s="20">
        <v>720</v>
      </c>
      <c r="C417" s="21">
        <v>33148.353000000003</v>
      </c>
      <c r="D417" s="18">
        <f t="shared" si="18"/>
        <v>33148.353000000003</v>
      </c>
      <c r="E417" s="21">
        <f t="shared" si="19"/>
        <v>31490.93535</v>
      </c>
      <c r="F417" s="18">
        <v>1</v>
      </c>
      <c r="G417" s="23" t="s">
        <v>758</v>
      </c>
      <c r="H417" s="22" t="s">
        <v>1046</v>
      </c>
      <c r="I417" s="22" t="s">
        <v>1047</v>
      </c>
      <c r="J417" s="22" t="s">
        <v>1370</v>
      </c>
      <c r="K417" s="11" t="s">
        <v>1467</v>
      </c>
      <c r="M417" s="17">
        <f>IFERROR(
IF(
$A417="","",
(VLOOKUP($G417,'nuevos productoss'!$A:$E,4,0))
),$C417)</f>
        <v>33222.152000000002</v>
      </c>
      <c r="N417" s="17">
        <f>IFERROR(
IF(
$A417="","",
(VLOOKUP($G417,'nuevos productoss'!$A:$E,5,0))
),$C417)</f>
        <v>28154.335999999999</v>
      </c>
      <c r="O417" s="17">
        <f t="shared" si="20"/>
        <v>5067.8160000000025</v>
      </c>
    </row>
    <row r="418" spans="1:15" x14ac:dyDescent="0.3">
      <c r="A418" s="5" t="s">
        <v>759</v>
      </c>
      <c r="B418" s="20">
        <v>720</v>
      </c>
      <c r="C418" s="21">
        <v>21425.985000000001</v>
      </c>
      <c r="D418" s="18">
        <f t="shared" si="18"/>
        <v>21425.985000000001</v>
      </c>
      <c r="E418" s="21">
        <f t="shared" si="19"/>
        <v>20354.685750000001</v>
      </c>
      <c r="F418" s="18">
        <v>1</v>
      </c>
      <c r="G418" s="23" t="s">
        <v>760</v>
      </c>
      <c r="H418" s="22" t="s">
        <v>1046</v>
      </c>
      <c r="I418" s="22" t="s">
        <v>1047</v>
      </c>
      <c r="J418" s="22" t="s">
        <v>1371</v>
      </c>
      <c r="K418" s="11" t="s">
        <v>1467</v>
      </c>
      <c r="M418" s="17">
        <f>IFERROR(
IF(
$A418="","",
(VLOOKUP($G418,'nuevos productoss'!$A:$E,4,0))
),$C418)</f>
        <v>21425.985000000001</v>
      </c>
      <c r="N418" s="17">
        <f>IFERROR(
IF(
$A418="","",
(VLOOKUP($G418,'nuevos productoss'!$A:$E,5,0))
),$C418)</f>
        <v>21425.985000000001</v>
      </c>
      <c r="O418" s="17">
        <f t="shared" si="20"/>
        <v>0</v>
      </c>
    </row>
    <row r="419" spans="1:15" x14ac:dyDescent="0.3">
      <c r="A419" s="5" t="s">
        <v>761</v>
      </c>
      <c r="B419" s="20">
        <v>360</v>
      </c>
      <c r="C419" s="21">
        <v>70588.517999999996</v>
      </c>
      <c r="D419" s="18">
        <f t="shared" si="18"/>
        <v>70588.517999999996</v>
      </c>
      <c r="E419" s="21">
        <f t="shared" si="19"/>
        <v>67059.092099999994</v>
      </c>
      <c r="F419" s="18">
        <v>1</v>
      </c>
      <c r="G419" s="23" t="s">
        <v>762</v>
      </c>
      <c r="H419" s="22" t="s">
        <v>1046</v>
      </c>
      <c r="I419" s="22" t="s">
        <v>1047</v>
      </c>
      <c r="J419" s="22" t="s">
        <v>1372</v>
      </c>
      <c r="K419" s="11" t="s">
        <v>1467</v>
      </c>
      <c r="M419" s="17">
        <f>IFERROR(
IF(
$A419="","",
(VLOOKUP($G419,'nuevos productoss'!$A:$E,4,0))
),$C419)</f>
        <v>65211.167999999998</v>
      </c>
      <c r="N419" s="17">
        <f>IFERROR(
IF(
$A419="","",
(VLOOKUP($G419,'nuevos productoss'!$A:$E,5,0))
),$C419)</f>
        <v>55263.792000000001</v>
      </c>
      <c r="O419" s="17">
        <f t="shared" si="20"/>
        <v>9947.3759999999966</v>
      </c>
    </row>
    <row r="420" spans="1:15" x14ac:dyDescent="0.3">
      <c r="A420" s="5" t="s">
        <v>763</v>
      </c>
      <c r="B420" s="20">
        <v>180</v>
      </c>
      <c r="C420" s="21">
        <v>21817.446</v>
      </c>
      <c r="D420" s="18">
        <f t="shared" si="18"/>
        <v>21817.446</v>
      </c>
      <c r="E420" s="21">
        <f t="shared" si="19"/>
        <v>20726.573699999997</v>
      </c>
      <c r="F420" s="18">
        <v>1</v>
      </c>
      <c r="G420" s="23" t="s">
        <v>764</v>
      </c>
      <c r="H420" s="22" t="s">
        <v>1046</v>
      </c>
      <c r="I420" s="22" t="s">
        <v>1048</v>
      </c>
      <c r="J420" s="22" t="s">
        <v>1373</v>
      </c>
      <c r="K420" s="11" t="s">
        <v>1467</v>
      </c>
      <c r="M420" s="17">
        <f>IFERROR(
IF(
$A420="","",
(VLOOKUP($G420,'nuevos productoss'!$A:$E,4,0))
),$C420)</f>
        <v>21449.788</v>
      </c>
      <c r="N420" s="17">
        <f>IFERROR(
IF(
$A420="","",
(VLOOKUP($G420,'nuevos productoss'!$A:$E,5,0))
),$C420)</f>
        <v>18177.804</v>
      </c>
      <c r="O420" s="17">
        <f t="shared" si="20"/>
        <v>3271.9840000000004</v>
      </c>
    </row>
    <row r="421" spans="1:15" x14ac:dyDescent="0.3">
      <c r="A421" s="5" t="s">
        <v>765</v>
      </c>
      <c r="B421" s="20">
        <v>180</v>
      </c>
      <c r="C421" s="21">
        <v>24022.446</v>
      </c>
      <c r="D421" s="18">
        <f t="shared" si="18"/>
        <v>24022.446</v>
      </c>
      <c r="E421" s="21">
        <f t="shared" si="19"/>
        <v>22821.323699999997</v>
      </c>
      <c r="F421" s="18">
        <v>1</v>
      </c>
      <c r="G421" s="23" t="s">
        <v>766</v>
      </c>
      <c r="H421" s="22" t="s">
        <v>1046</v>
      </c>
      <c r="I421" s="22" t="s">
        <v>1048</v>
      </c>
      <c r="J421" s="22" t="s">
        <v>1374</v>
      </c>
      <c r="K421" s="11" t="s">
        <v>1467</v>
      </c>
      <c r="M421" s="17">
        <f>IFERROR(
IF(
$A421="","",
(VLOOKUP($G421,'nuevos productoss'!$A:$E,4,0))
),$C421)</f>
        <v>22776.903999999999</v>
      </c>
      <c r="N421" s="17">
        <f>IFERROR(
IF(
$A421="","",
(VLOOKUP($G421,'nuevos productoss'!$A:$E,5,0))
),$C421)</f>
        <v>19302.455999999998</v>
      </c>
      <c r="O421" s="17">
        <f t="shared" si="20"/>
        <v>3474.4480000000003</v>
      </c>
    </row>
    <row r="422" spans="1:15" x14ac:dyDescent="0.3">
      <c r="A422" s="5" t="s">
        <v>767</v>
      </c>
      <c r="B422" s="20">
        <v>180</v>
      </c>
      <c r="C422" s="21">
        <v>25362.350999999999</v>
      </c>
      <c r="D422" s="18">
        <f t="shared" si="18"/>
        <v>25362.350999999999</v>
      </c>
      <c r="E422" s="21">
        <f t="shared" si="19"/>
        <v>24094.233449999996</v>
      </c>
      <c r="F422" s="18">
        <v>1</v>
      </c>
      <c r="G422" s="23" t="s">
        <v>768</v>
      </c>
      <c r="H422" s="22" t="s">
        <v>1046</v>
      </c>
      <c r="I422" s="22" t="s">
        <v>1048</v>
      </c>
      <c r="J422" s="22" t="s">
        <v>1375</v>
      </c>
      <c r="K422" s="11" t="s">
        <v>1467</v>
      </c>
      <c r="M422" s="17">
        <f>IFERROR(
IF(
$A422="","",
(VLOOKUP($G422,'nuevos productoss'!$A:$E,4,0))
),$C422)</f>
        <v>24337.712</v>
      </c>
      <c r="N422" s="17">
        <f>IFERROR(
IF(
$A422="","",
(VLOOKUP($G422,'nuevos productoss'!$A:$E,5,0))
),$C422)</f>
        <v>20625.28</v>
      </c>
      <c r="O422" s="17">
        <f t="shared" si="20"/>
        <v>3712.4320000000007</v>
      </c>
    </row>
    <row r="423" spans="1:15" x14ac:dyDescent="0.3">
      <c r="A423" s="5" t="s">
        <v>769</v>
      </c>
      <c r="B423" s="20">
        <v>180</v>
      </c>
      <c r="C423" s="21">
        <v>29314.298999999999</v>
      </c>
      <c r="D423" s="18">
        <f t="shared" si="18"/>
        <v>29314.298999999999</v>
      </c>
      <c r="E423" s="21">
        <f t="shared" si="19"/>
        <v>27848.584049999998</v>
      </c>
      <c r="F423" s="18">
        <v>1</v>
      </c>
      <c r="G423" s="23" t="s">
        <v>770</v>
      </c>
      <c r="H423" s="22" t="s">
        <v>1046</v>
      </c>
      <c r="I423" s="22" t="s">
        <v>1048</v>
      </c>
      <c r="J423" s="22" t="s">
        <v>1376</v>
      </c>
      <c r="K423" s="11" t="s">
        <v>1467</v>
      </c>
      <c r="M423" s="17">
        <f>IFERROR(
IF(
$A423="","",
(VLOOKUP($G423,'nuevos productoss'!$A:$E,4,0))
),$C423)</f>
        <v>27771.756000000001</v>
      </c>
      <c r="N423" s="17">
        <f>IFERROR(
IF(
$A423="","",
(VLOOKUP($G423,'nuevos productoss'!$A:$E,5,0))
),$C423)</f>
        <v>23535.403999999999</v>
      </c>
      <c r="O423" s="17">
        <f t="shared" si="20"/>
        <v>4236.3520000000026</v>
      </c>
    </row>
    <row r="424" spans="1:15" x14ac:dyDescent="0.3">
      <c r="A424" s="5" t="s">
        <v>771</v>
      </c>
      <c r="B424" s="20">
        <v>720</v>
      </c>
      <c r="C424" s="21">
        <v>32375.867999999999</v>
      </c>
      <c r="D424" s="18">
        <f t="shared" si="18"/>
        <v>32375.867999999999</v>
      </c>
      <c r="E424" s="21">
        <f t="shared" si="19"/>
        <v>30757.074599999996</v>
      </c>
      <c r="F424" s="18">
        <v>1</v>
      </c>
      <c r="G424" s="23" t="s">
        <v>772</v>
      </c>
      <c r="H424" s="22" t="s">
        <v>1046</v>
      </c>
      <c r="I424" s="22" t="s">
        <v>1048</v>
      </c>
      <c r="J424" s="22" t="s">
        <v>1377</v>
      </c>
      <c r="K424" s="11" t="s">
        <v>1467</v>
      </c>
      <c r="M424" s="17">
        <f>IFERROR(
IF(
$A424="","",
(VLOOKUP($G424,'nuevos productoss'!$A:$E,4,0))
),$C424)</f>
        <v>31781.223999999998</v>
      </c>
      <c r="N424" s="17">
        <f>IFERROR(
IF(
$A424="","",
(VLOOKUP($G424,'nuevos productoss'!$A:$E,5,0))
),$C424)</f>
        <v>26933.335999999999</v>
      </c>
      <c r="O424" s="17">
        <f t="shared" si="20"/>
        <v>4847.887999999999</v>
      </c>
    </row>
    <row r="425" spans="1:15" x14ac:dyDescent="0.3">
      <c r="A425" s="5" t="s">
        <v>773</v>
      </c>
      <c r="B425" s="20">
        <v>720</v>
      </c>
      <c r="C425" s="21">
        <v>39079.508999999998</v>
      </c>
      <c r="D425" s="18">
        <f t="shared" si="18"/>
        <v>39079.508999999998</v>
      </c>
      <c r="E425" s="21">
        <f t="shared" si="19"/>
        <v>37125.53355</v>
      </c>
      <c r="F425" s="18">
        <v>1</v>
      </c>
      <c r="G425" s="23" t="s">
        <v>774</v>
      </c>
      <c r="H425" s="22" t="s">
        <v>1046</v>
      </c>
      <c r="I425" s="22" t="s">
        <v>1048</v>
      </c>
      <c r="J425" s="22" t="s">
        <v>1378</v>
      </c>
      <c r="K425" s="11" t="s">
        <v>1467</v>
      </c>
      <c r="M425" s="17">
        <f>IFERROR(
IF(
$A425="","",
(VLOOKUP($G425,'nuevos productoss'!$A:$E,4,0))
),$C425)</f>
        <v>39079.508999999998</v>
      </c>
      <c r="N425" s="17">
        <f>IFERROR(
IF(
$A425="","",
(VLOOKUP($G425,'nuevos productoss'!$A:$E,5,0))
),$C425)</f>
        <v>39079.508999999998</v>
      </c>
      <c r="O425" s="17">
        <f t="shared" si="20"/>
        <v>0</v>
      </c>
    </row>
    <row r="426" spans="1:15" x14ac:dyDescent="0.3">
      <c r="A426" s="5" t="s">
        <v>775</v>
      </c>
      <c r="B426" s="20">
        <v>720</v>
      </c>
      <c r="C426" s="21">
        <v>43696.190999999999</v>
      </c>
      <c r="D426" s="18">
        <f t="shared" si="18"/>
        <v>43696.190999999999</v>
      </c>
      <c r="E426" s="21">
        <f t="shared" si="19"/>
        <v>41511.381449999993</v>
      </c>
      <c r="F426" s="18">
        <v>1</v>
      </c>
      <c r="G426" s="23" t="s">
        <v>776</v>
      </c>
      <c r="H426" s="22" t="s">
        <v>1046</v>
      </c>
      <c r="I426" s="22" t="s">
        <v>1048</v>
      </c>
      <c r="J426" s="22" t="s">
        <v>1379</v>
      </c>
      <c r="K426" s="11" t="s">
        <v>1467</v>
      </c>
      <c r="M426" s="17">
        <f>IFERROR(
IF(
$A426="","",
(VLOOKUP($G426,'nuevos productoss'!$A:$E,4,0))
),$C426)</f>
        <v>42527.06</v>
      </c>
      <c r="N426" s="17">
        <f>IFERROR(
IF(
$A426="","",
(VLOOKUP($G426,'nuevos productoss'!$A:$E,5,0))
),$C426)</f>
        <v>36039.923999999999</v>
      </c>
      <c r="O426" s="17">
        <f t="shared" si="20"/>
        <v>6487.1359999999986</v>
      </c>
    </row>
    <row r="427" spans="1:15" x14ac:dyDescent="0.3">
      <c r="B427" s="20"/>
      <c r="C427" s="21"/>
      <c r="D427" s="18">
        <f t="shared" si="18"/>
        <v>0</v>
      </c>
      <c r="E427" s="21" t="str">
        <f t="shared" si="19"/>
        <v/>
      </c>
      <c r="F427" s="18"/>
      <c r="G427" s="5"/>
      <c r="H427" s="22" t="s">
        <v>1865</v>
      </c>
      <c r="I427" s="22" t="s">
        <v>1865</v>
      </c>
      <c r="J427" s="22" t="s">
        <v>1865</v>
      </c>
      <c r="K427" s="11" t="s">
        <v>1467</v>
      </c>
      <c r="M427" s="17" t="str">
        <f>IFERROR(
IF(
$A427="","",
(VLOOKUP($G427,'nuevos productoss'!$A:$E,4,0))
),$C427)</f>
        <v/>
      </c>
      <c r="N427" s="17" t="str">
        <f>IFERROR(
IF(
$A427="","",
(VLOOKUP($G427,'nuevos productoss'!$A:$E,5,0))
),$C427)</f>
        <v/>
      </c>
      <c r="O427" s="17">
        <f t="shared" si="20"/>
        <v>0</v>
      </c>
    </row>
    <row r="428" spans="1:15" x14ac:dyDescent="0.3">
      <c r="A428" s="5" t="s">
        <v>777</v>
      </c>
      <c r="B428" s="20">
        <v>720</v>
      </c>
      <c r="C428" s="21">
        <v>51664.913999999997</v>
      </c>
      <c r="D428" s="18">
        <f t="shared" si="18"/>
        <v>51664.913999999997</v>
      </c>
      <c r="E428" s="21">
        <f t="shared" si="19"/>
        <v>49081.668299999998</v>
      </c>
      <c r="F428" s="18">
        <v>1</v>
      </c>
      <c r="G428" s="23" t="s">
        <v>778</v>
      </c>
      <c r="H428" s="22" t="s">
        <v>1046</v>
      </c>
      <c r="I428" s="22" t="s">
        <v>1048</v>
      </c>
      <c r="J428" s="22" t="s">
        <v>1380</v>
      </c>
      <c r="K428" s="11" t="s">
        <v>1467</v>
      </c>
      <c r="M428" s="17">
        <f>IFERROR(
IF(
$A428="","",
(VLOOKUP($G428,'nuevos productoss'!$A:$E,4,0))
),$C428)</f>
        <v>51061.775999999998</v>
      </c>
      <c r="N428" s="17">
        <f>IFERROR(
IF(
$A428="","",
(VLOOKUP($G428,'nuevos productoss'!$A:$E,5,0))
),$C428)</f>
        <v>43272.684000000001</v>
      </c>
      <c r="O428" s="17">
        <f t="shared" si="20"/>
        <v>7789.0919999999969</v>
      </c>
    </row>
    <row r="429" spans="1:15" x14ac:dyDescent="0.3">
      <c r="B429" s="20"/>
      <c r="C429" s="21"/>
      <c r="D429" s="18">
        <f t="shared" si="18"/>
        <v>0</v>
      </c>
      <c r="E429" s="21" t="str">
        <f t="shared" si="19"/>
        <v/>
      </c>
      <c r="F429" s="18"/>
      <c r="G429" s="5"/>
      <c r="H429" s="22" t="s">
        <v>1865</v>
      </c>
      <c r="I429" s="22" t="s">
        <v>1865</v>
      </c>
      <c r="J429" s="22" t="s">
        <v>1865</v>
      </c>
      <c r="K429" s="11" t="s">
        <v>1467</v>
      </c>
      <c r="M429" s="17" t="str">
        <f>IFERROR(
IF(
$A429="","",
(VLOOKUP($G429,'nuevos productoss'!$A:$E,4,0))
),$C429)</f>
        <v/>
      </c>
      <c r="N429" s="17" t="str">
        <f>IFERROR(
IF(
$A429="","",
(VLOOKUP($G429,'nuevos productoss'!$A:$E,5,0))
),$C429)</f>
        <v/>
      </c>
      <c r="O429" s="17">
        <f t="shared" si="20"/>
        <v>0</v>
      </c>
    </row>
    <row r="430" spans="1:15" x14ac:dyDescent="0.3">
      <c r="A430" s="5" t="s">
        <v>779</v>
      </c>
      <c r="B430" s="20">
        <v>720</v>
      </c>
      <c r="C430" s="21">
        <v>73198.502999999997</v>
      </c>
      <c r="D430" s="18">
        <f t="shared" si="18"/>
        <v>73198.502999999997</v>
      </c>
      <c r="E430" s="21">
        <f t="shared" si="19"/>
        <v>69538.577849999987</v>
      </c>
      <c r="F430" s="18">
        <v>1</v>
      </c>
      <c r="G430" s="23" t="s">
        <v>780</v>
      </c>
      <c r="H430" s="22" t="s">
        <v>1046</v>
      </c>
      <c r="I430" s="22" t="s">
        <v>1048</v>
      </c>
      <c r="J430" s="22" t="s">
        <v>1381</v>
      </c>
      <c r="K430" s="11" t="s">
        <v>1467</v>
      </c>
      <c r="M430" s="17">
        <f>IFERROR(
IF(
$A430="","",
(VLOOKUP($G430,'nuevos productoss'!$A:$E,4,0))
),$C430)</f>
        <v>68978.508000000002</v>
      </c>
      <c r="N430" s="17">
        <f>IFERROR(
IF(
$A430="","",
(VLOOKUP($G430,'nuevos productoss'!$A:$E,5,0))
),$C430)</f>
        <v>58456.3</v>
      </c>
      <c r="O430" s="17">
        <f t="shared" si="20"/>
        <v>10522.207999999999</v>
      </c>
    </row>
    <row r="431" spans="1:15" x14ac:dyDescent="0.3">
      <c r="A431" s="5" t="s">
        <v>781</v>
      </c>
      <c r="B431" s="20">
        <v>720</v>
      </c>
      <c r="C431" s="21">
        <v>78634.122000000003</v>
      </c>
      <c r="D431" s="18">
        <f t="shared" si="18"/>
        <v>78634.122000000003</v>
      </c>
      <c r="E431" s="21">
        <f t="shared" si="19"/>
        <v>74702.415899999993</v>
      </c>
      <c r="F431" s="18">
        <v>1</v>
      </c>
      <c r="G431" s="23" t="s">
        <v>782</v>
      </c>
      <c r="H431" s="22" t="s">
        <v>1046</v>
      </c>
      <c r="I431" s="22" t="s">
        <v>1048</v>
      </c>
      <c r="J431" s="22" t="s">
        <v>1382</v>
      </c>
      <c r="K431" s="11" t="s">
        <v>1467</v>
      </c>
      <c r="M431" s="17">
        <f>IFERROR(
IF(
$A431="","",
(VLOOKUP($G431,'nuevos productoss'!$A:$E,4,0))
),$C431)</f>
        <v>77189.843999999997</v>
      </c>
      <c r="N431" s="17">
        <f>IFERROR(
IF(
$A431="","",
(VLOOKUP($G431,'nuevos productoss'!$A:$E,5,0))
),$C431)</f>
        <v>65415.112000000001</v>
      </c>
      <c r="O431" s="17">
        <f t="shared" si="20"/>
        <v>11774.731999999996</v>
      </c>
    </row>
    <row r="432" spans="1:15" x14ac:dyDescent="0.3">
      <c r="A432" s="5" t="s">
        <v>783</v>
      </c>
      <c r="B432" s="20">
        <v>15</v>
      </c>
      <c r="C432" s="21">
        <v>4171.5659999999998</v>
      </c>
      <c r="D432" s="18">
        <f t="shared" si="18"/>
        <v>4171.5659999999998</v>
      </c>
      <c r="E432" s="21">
        <f t="shared" si="19"/>
        <v>3962.9876999999997</v>
      </c>
      <c r="F432" s="18">
        <v>1</v>
      </c>
      <c r="G432" s="23" t="s">
        <v>784</v>
      </c>
      <c r="H432" s="22" t="s">
        <v>1046</v>
      </c>
      <c r="I432" s="22" t="s">
        <v>1047</v>
      </c>
      <c r="J432" s="22" t="s">
        <v>1383</v>
      </c>
      <c r="K432" s="11" t="s">
        <v>1467</v>
      </c>
      <c r="M432" s="17">
        <f>IFERROR(
IF(
$A432="","",
(VLOOKUP($G432,'nuevos productoss'!$A:$E,4,0))
),$C432)</f>
        <v>4095.4560000000001</v>
      </c>
      <c r="N432" s="17">
        <f>IFERROR(
IF(
$A432="","",
(VLOOKUP($G432,'nuevos productoss'!$A:$E,5,0))
),$C432)</f>
        <v>3470.748</v>
      </c>
      <c r="O432" s="17">
        <f t="shared" si="20"/>
        <v>624.70800000000008</v>
      </c>
    </row>
    <row r="433" spans="1:15" x14ac:dyDescent="0.3">
      <c r="A433" s="5" t="s">
        <v>785</v>
      </c>
      <c r="B433" s="20">
        <v>30</v>
      </c>
      <c r="C433" s="21">
        <v>341678.56800000003</v>
      </c>
      <c r="D433" s="18">
        <f t="shared" si="18"/>
        <v>341678.56800000003</v>
      </c>
      <c r="E433" s="21">
        <f t="shared" si="19"/>
        <v>324594.63959999999</v>
      </c>
      <c r="F433" s="18">
        <v>1</v>
      </c>
      <c r="G433" s="23" t="s">
        <v>786</v>
      </c>
      <c r="H433" s="22" t="s">
        <v>1055</v>
      </c>
      <c r="I433" s="22" t="s">
        <v>1069</v>
      </c>
      <c r="J433" s="22" t="s">
        <v>1384</v>
      </c>
      <c r="K433" s="11" t="s">
        <v>1467</v>
      </c>
      <c r="M433" s="17">
        <f>IFERROR(
IF(
$A433="","",
(VLOOKUP($G433,'nuevos productoss'!$A:$E,4,0))
),$C433)</f>
        <v>335402.92800000001</v>
      </c>
      <c r="N433" s="17">
        <f>IFERROR(
IF(
$A433="","",
(VLOOKUP($G433,'nuevos productoss'!$A:$E,5,0))
),$C433)</f>
        <v>284239.772</v>
      </c>
      <c r="O433" s="17">
        <f t="shared" si="20"/>
        <v>51163.156000000017</v>
      </c>
    </row>
    <row r="434" spans="1:15" x14ac:dyDescent="0.3">
      <c r="A434" s="5" t="s">
        <v>787</v>
      </c>
      <c r="B434" s="20">
        <v>30</v>
      </c>
      <c r="C434" s="21">
        <v>516217.25400000002</v>
      </c>
      <c r="D434" s="18">
        <f t="shared" si="18"/>
        <v>516217.25400000002</v>
      </c>
      <c r="E434" s="21">
        <f t="shared" si="19"/>
        <v>490406.39130000002</v>
      </c>
      <c r="F434" s="18">
        <v>1</v>
      </c>
      <c r="G434" s="23" t="s">
        <v>788</v>
      </c>
      <c r="H434" s="22" t="s">
        <v>1055</v>
      </c>
      <c r="I434" s="22" t="s">
        <v>1069</v>
      </c>
      <c r="J434" s="22" t="s">
        <v>1385</v>
      </c>
      <c r="K434" s="11" t="s">
        <v>1467</v>
      </c>
      <c r="M434" s="17">
        <f>IFERROR(
IF(
$A434="","",
(VLOOKUP($G434,'nuevos productoss'!$A:$E,4,0))
),$C434)</f>
        <v>506735.72</v>
      </c>
      <c r="N434" s="17">
        <f>IFERROR(
IF(
$A434="","",
(VLOOKUP($G434,'nuevos productoss'!$A:$E,5,0))
),$C434)</f>
        <v>429437.09600000002</v>
      </c>
      <c r="O434" s="17">
        <f t="shared" si="20"/>
        <v>77298.623999999953</v>
      </c>
    </row>
    <row r="435" spans="1:15" x14ac:dyDescent="0.3">
      <c r="A435" s="5" t="s">
        <v>789</v>
      </c>
      <c r="B435" s="20">
        <v>720</v>
      </c>
      <c r="C435" s="21">
        <v>16609.089</v>
      </c>
      <c r="D435" s="18">
        <f t="shared" si="18"/>
        <v>16609.089</v>
      </c>
      <c r="E435" s="21">
        <f t="shared" si="19"/>
        <v>15778.634549999999</v>
      </c>
      <c r="F435" s="18">
        <v>1</v>
      </c>
      <c r="G435" s="23" t="s">
        <v>790</v>
      </c>
      <c r="H435" s="22" t="s">
        <v>1046</v>
      </c>
      <c r="I435" s="22" t="s">
        <v>1047</v>
      </c>
      <c r="J435" s="22" t="s">
        <v>1386</v>
      </c>
      <c r="K435" s="11" t="s">
        <v>1467</v>
      </c>
      <c r="M435" s="17">
        <f>IFERROR(
IF(
$A435="","",
(VLOOKUP($G435,'nuevos productoss'!$A:$E,4,0))
),$C435)</f>
        <v>16302.791999999999</v>
      </c>
      <c r="N435" s="17">
        <f>IFERROR(
IF(
$A435="","",
(VLOOKUP($G435,'nuevos productoss'!$A:$E,5,0))
),$C435)</f>
        <v>13815.948</v>
      </c>
      <c r="O435" s="17">
        <f t="shared" si="20"/>
        <v>2486.8439999999991</v>
      </c>
    </row>
    <row r="436" spans="1:15" x14ac:dyDescent="0.3">
      <c r="A436" s="5" t="s">
        <v>791</v>
      </c>
      <c r="B436" s="20">
        <v>720</v>
      </c>
      <c r="C436" s="21">
        <v>19306.244999999999</v>
      </c>
      <c r="D436" s="18">
        <f t="shared" si="18"/>
        <v>19306.244999999999</v>
      </c>
      <c r="E436" s="21">
        <f t="shared" si="19"/>
        <v>18340.93275</v>
      </c>
      <c r="F436" s="18">
        <v>1</v>
      </c>
      <c r="G436" s="23" t="s">
        <v>792</v>
      </c>
      <c r="H436" s="22" t="s">
        <v>1046</v>
      </c>
      <c r="I436" s="22" t="s">
        <v>1047</v>
      </c>
      <c r="J436" s="22" t="s">
        <v>1387</v>
      </c>
      <c r="K436" s="11" t="s">
        <v>1467</v>
      </c>
      <c r="M436" s="17">
        <f>IFERROR(
IF(
$A436="","",
(VLOOKUP($G436,'nuevos productoss'!$A:$E,4,0))
),$C436)</f>
        <v>18953.027999999998</v>
      </c>
      <c r="N436" s="17">
        <f>IFERROR(
IF(
$A436="","",
(VLOOKUP($G436,'nuevos productoss'!$A:$E,5,0))
),$C436)</f>
        <v>16061.848</v>
      </c>
      <c r="O436" s="17">
        <f t="shared" si="20"/>
        <v>2891.1799999999985</v>
      </c>
    </row>
    <row r="437" spans="1:15" x14ac:dyDescent="0.3">
      <c r="A437" s="5" t="s">
        <v>793</v>
      </c>
      <c r="B437" s="20">
        <v>720</v>
      </c>
      <c r="C437" s="21">
        <v>33087.936000000002</v>
      </c>
      <c r="D437" s="18">
        <f t="shared" si="18"/>
        <v>33087.936000000002</v>
      </c>
      <c r="E437" s="21">
        <f t="shared" si="19"/>
        <v>31433.539199999999</v>
      </c>
      <c r="F437" s="18">
        <v>1</v>
      </c>
      <c r="G437" s="23" t="s">
        <v>794</v>
      </c>
      <c r="H437" s="22" t="s">
        <v>1046</v>
      </c>
      <c r="I437" s="22" t="s">
        <v>1047</v>
      </c>
      <c r="J437" s="22" t="s">
        <v>1388</v>
      </c>
      <c r="K437" s="11" t="s">
        <v>1467</v>
      </c>
      <c r="M437" s="17">
        <f>IFERROR(
IF(
$A437="","",
(VLOOKUP($G437,'nuevos productoss'!$A:$E,4,0))
),$C437)</f>
        <v>32484.815999999999</v>
      </c>
      <c r="N437" s="17">
        <f>IFERROR(
IF(
$A437="","",
(VLOOKUP($G437,'nuevos productoss'!$A:$E,5,0))
),$C437)</f>
        <v>27529.48</v>
      </c>
      <c r="O437" s="17">
        <f t="shared" si="20"/>
        <v>4955.3359999999993</v>
      </c>
    </row>
    <row r="438" spans="1:15" x14ac:dyDescent="0.3">
      <c r="A438" s="5" t="s">
        <v>795</v>
      </c>
      <c r="B438" s="20">
        <v>720</v>
      </c>
      <c r="C438" s="21">
        <v>28716.008999999998</v>
      </c>
      <c r="D438" s="18">
        <f t="shared" si="18"/>
        <v>28716.008999999998</v>
      </c>
      <c r="E438" s="21">
        <f t="shared" si="19"/>
        <v>27280.208549999996</v>
      </c>
      <c r="F438" s="18">
        <v>1</v>
      </c>
      <c r="G438" s="23" t="s">
        <v>796</v>
      </c>
      <c r="H438" s="22" t="s">
        <v>1046</v>
      </c>
      <c r="I438" s="22" t="s">
        <v>1047</v>
      </c>
      <c r="J438" s="22" t="s">
        <v>1389</v>
      </c>
      <c r="K438" s="11" t="s">
        <v>1467</v>
      </c>
      <c r="M438" s="17">
        <f>IFERROR(
IF(
$A438="","",
(VLOOKUP($G438,'nuevos productoss'!$A:$E,4,0))
),$C438)</f>
        <v>28188.524000000001</v>
      </c>
      <c r="N438" s="17">
        <f>IFERROR(
IF(
$A438="","",
(VLOOKUP($G438,'nuevos productoss'!$A:$E,5,0))
),$C438)</f>
        <v>23888.68</v>
      </c>
      <c r="O438" s="17">
        <f t="shared" si="20"/>
        <v>4299.844000000001</v>
      </c>
    </row>
    <row r="439" spans="1:15" x14ac:dyDescent="0.3">
      <c r="A439" s="5" t="s">
        <v>797</v>
      </c>
      <c r="B439" s="20">
        <v>360</v>
      </c>
      <c r="C439" s="21">
        <v>38149.292999999998</v>
      </c>
      <c r="D439" s="18">
        <f t="shared" si="18"/>
        <v>38149.292999999998</v>
      </c>
      <c r="E439" s="21">
        <f t="shared" si="19"/>
        <v>36241.828349999996</v>
      </c>
      <c r="F439" s="18">
        <v>1</v>
      </c>
      <c r="G439" s="23" t="s">
        <v>798</v>
      </c>
      <c r="H439" s="22" t="s">
        <v>1046</v>
      </c>
      <c r="I439" s="22" t="s">
        <v>1047</v>
      </c>
      <c r="J439" s="22" t="s">
        <v>1390</v>
      </c>
      <c r="K439" s="11" t="s">
        <v>1467</v>
      </c>
      <c r="M439" s="17">
        <f>IFERROR(
IF(
$A439="","",
(VLOOKUP($G439,'nuevos productoss'!$A:$E,4,0))
),$C439)</f>
        <v>37448.588000000003</v>
      </c>
      <c r="N439" s="17">
        <f>IFERROR(
IF(
$A439="","",
(VLOOKUP($G439,'nuevos productoss'!$A:$E,5,0))
),$C439)</f>
        <v>31736.083999999999</v>
      </c>
      <c r="O439" s="17">
        <f t="shared" si="20"/>
        <v>5712.5040000000045</v>
      </c>
    </row>
    <row r="440" spans="1:15" x14ac:dyDescent="0.3">
      <c r="A440" s="5" t="s">
        <v>799</v>
      </c>
      <c r="B440" s="20">
        <v>360</v>
      </c>
      <c r="C440" s="21">
        <v>94190.396999999997</v>
      </c>
      <c r="D440" s="18">
        <f t="shared" si="18"/>
        <v>94190.396999999997</v>
      </c>
      <c r="E440" s="21">
        <f t="shared" si="19"/>
        <v>89480.87715</v>
      </c>
      <c r="F440" s="18">
        <v>1</v>
      </c>
      <c r="G440" s="23" t="s">
        <v>800</v>
      </c>
      <c r="H440" s="22" t="s">
        <v>1046</v>
      </c>
      <c r="I440" s="22" t="s">
        <v>1047</v>
      </c>
      <c r="J440" s="22" t="s">
        <v>1391</v>
      </c>
      <c r="K440" s="11" t="s">
        <v>1467</v>
      </c>
      <c r="M440" s="17">
        <f>IFERROR(
IF(
$A440="","",
(VLOOKUP($G440,'nuevos productoss'!$A:$E,4,0))
),$C440)</f>
        <v>92466.995999999999</v>
      </c>
      <c r="N440" s="17">
        <f>IFERROR(
IF(
$A440="","",
(VLOOKUP($G440,'nuevos productoss'!$A:$E,5,0))
),$C440)</f>
        <v>78361.856</v>
      </c>
      <c r="O440" s="17">
        <f t="shared" si="20"/>
        <v>14105.14</v>
      </c>
    </row>
    <row r="441" spans="1:15" x14ac:dyDescent="0.3">
      <c r="A441" s="5" t="s">
        <v>801</v>
      </c>
      <c r="B441" s="20">
        <v>720</v>
      </c>
      <c r="C441" s="21">
        <v>186278.84099999999</v>
      </c>
      <c r="D441" s="18">
        <f t="shared" si="18"/>
        <v>186278.84099999999</v>
      </c>
      <c r="E441" s="21">
        <f t="shared" si="19"/>
        <v>176964.89894999997</v>
      </c>
      <c r="F441" s="18">
        <v>1</v>
      </c>
      <c r="G441" s="23" t="s">
        <v>802</v>
      </c>
      <c r="H441" s="22" t="s">
        <v>1046</v>
      </c>
      <c r="I441" s="22" t="s">
        <v>1047</v>
      </c>
      <c r="J441" s="22" t="s">
        <v>1392</v>
      </c>
      <c r="K441" s="11" t="s">
        <v>1467</v>
      </c>
      <c r="M441" s="17">
        <f>IFERROR(
IF(
$A441="","",
(VLOOKUP($G441,'nuevos productoss'!$A:$E,4,0))
),$C441)</f>
        <v>182857.40400000001</v>
      </c>
      <c r="N441" s="17">
        <f>IFERROR(
IF(
$A441="","",
(VLOOKUP($G441,'nuevos productoss'!$A:$E,5,0))
),$C441)</f>
        <v>154963.84400000001</v>
      </c>
      <c r="O441" s="17">
        <f t="shared" si="20"/>
        <v>27893.559999999998</v>
      </c>
    </row>
    <row r="442" spans="1:15" x14ac:dyDescent="0.3">
      <c r="A442" s="5" t="s">
        <v>803</v>
      </c>
      <c r="B442" s="20">
        <v>10</v>
      </c>
      <c r="C442" s="21">
        <v>25905.368999999999</v>
      </c>
      <c r="D442" s="18">
        <f t="shared" si="18"/>
        <v>25905.368999999999</v>
      </c>
      <c r="E442" s="21">
        <f t="shared" si="19"/>
        <v>24610.100549999999</v>
      </c>
      <c r="F442" s="18">
        <v>1</v>
      </c>
      <c r="G442" s="23" t="s">
        <v>804</v>
      </c>
      <c r="H442" s="22" t="s">
        <v>1058</v>
      </c>
      <c r="I442" s="22" t="s">
        <v>1068</v>
      </c>
      <c r="J442" s="22" t="s">
        <v>1393</v>
      </c>
      <c r="K442" s="11" t="s">
        <v>1467</v>
      </c>
      <c r="M442" s="17">
        <f>IFERROR(
IF(
$A442="","",
(VLOOKUP($G442,'nuevos productoss'!$A:$E,4,0))
),$C442)</f>
        <v>25427.732</v>
      </c>
      <c r="N442" s="17">
        <f>IFERROR(
IF(
$A442="","",
(VLOOKUP($G442,'nuevos productoss'!$A:$E,5,0))
),$C442)</f>
        <v>21548.948</v>
      </c>
      <c r="O442" s="17">
        <f t="shared" si="20"/>
        <v>3878.7839999999997</v>
      </c>
    </row>
    <row r="443" spans="1:15" x14ac:dyDescent="0.3">
      <c r="A443" s="5" t="s">
        <v>805</v>
      </c>
      <c r="B443" s="20">
        <v>10</v>
      </c>
      <c r="C443" s="21">
        <v>30770.628000000001</v>
      </c>
      <c r="D443" s="18">
        <f t="shared" si="18"/>
        <v>30770.628000000001</v>
      </c>
      <c r="E443" s="21">
        <f t="shared" si="19"/>
        <v>29232.096600000001</v>
      </c>
      <c r="F443" s="18">
        <v>1</v>
      </c>
      <c r="G443" s="23" t="s">
        <v>806</v>
      </c>
      <c r="H443" s="22" t="s">
        <v>1058</v>
      </c>
      <c r="I443" s="22" t="s">
        <v>1068</v>
      </c>
      <c r="J443" s="22" t="s">
        <v>1394</v>
      </c>
      <c r="K443" s="11" t="s">
        <v>1467</v>
      </c>
      <c r="M443" s="17">
        <f>IFERROR(
IF(
$A443="","",
(VLOOKUP($G443,'nuevos productoss'!$A:$E,4,0))
),$C443)</f>
        <v>30203.248</v>
      </c>
      <c r="N443" s="17">
        <f>IFERROR(
IF(
$A443="","",
(VLOOKUP($G443,'nuevos productoss'!$A:$E,5,0))
),$C443)</f>
        <v>25596.008000000002</v>
      </c>
      <c r="O443" s="17">
        <f t="shared" si="20"/>
        <v>4607.239999999998</v>
      </c>
    </row>
    <row r="444" spans="1:15" x14ac:dyDescent="0.3">
      <c r="A444" s="5" t="s">
        <v>807</v>
      </c>
      <c r="B444" s="20">
        <v>10</v>
      </c>
      <c r="C444" s="21">
        <v>25905.368999999999</v>
      </c>
      <c r="D444" s="18">
        <f t="shared" si="18"/>
        <v>25905.368999999999</v>
      </c>
      <c r="E444" s="21">
        <f t="shared" si="19"/>
        <v>24610.100549999999</v>
      </c>
      <c r="F444" s="18">
        <v>1</v>
      </c>
      <c r="G444" s="23" t="s">
        <v>808</v>
      </c>
      <c r="H444" s="22" t="s">
        <v>1058</v>
      </c>
      <c r="I444" s="22" t="s">
        <v>1068</v>
      </c>
      <c r="J444" s="22" t="s">
        <v>1395</v>
      </c>
      <c r="K444" s="11" t="s">
        <v>1467</v>
      </c>
      <c r="M444" s="17">
        <f>IFERROR(
IF(
$A444="","",
(VLOOKUP($G444,'nuevos productoss'!$A:$E,4,0))
),$C444)</f>
        <v>25427.732</v>
      </c>
      <c r="N444" s="17">
        <f>IFERROR(
IF(
$A444="","",
(VLOOKUP($G444,'nuevos productoss'!$A:$E,5,0))
),$C444)</f>
        <v>21548.948</v>
      </c>
      <c r="O444" s="17">
        <f t="shared" si="20"/>
        <v>3878.7839999999997</v>
      </c>
    </row>
    <row r="445" spans="1:15" x14ac:dyDescent="0.3">
      <c r="A445" s="5" t="s">
        <v>809</v>
      </c>
      <c r="B445" s="20">
        <v>10</v>
      </c>
      <c r="C445" s="21">
        <v>89153.441999999995</v>
      </c>
      <c r="D445" s="18">
        <f t="shared" si="18"/>
        <v>89153.441999999995</v>
      </c>
      <c r="E445" s="21">
        <f t="shared" si="19"/>
        <v>84695.769899999985</v>
      </c>
      <c r="F445" s="18">
        <v>1</v>
      </c>
      <c r="G445" s="23" t="s">
        <v>810</v>
      </c>
      <c r="H445" s="22" t="s">
        <v>1058</v>
      </c>
      <c r="I445" s="22" t="s">
        <v>1068</v>
      </c>
      <c r="J445" s="22" t="s">
        <v>1396</v>
      </c>
      <c r="K445" s="11" t="s">
        <v>1467</v>
      </c>
      <c r="M445" s="17">
        <f>IFERROR(
IF(
$A445="","",
(VLOOKUP($G445,'nuevos productoss'!$A:$E,4,0))
),$C445)</f>
        <v>87509.588000000003</v>
      </c>
      <c r="N445" s="17">
        <f>IFERROR(
IF(
$A445="","",
(VLOOKUP($G445,'nuevos productoss'!$A:$E,5,0))
),$C445)</f>
        <v>74160.58</v>
      </c>
      <c r="O445" s="17">
        <f t="shared" si="20"/>
        <v>13349.008000000002</v>
      </c>
    </row>
    <row r="446" spans="1:15" x14ac:dyDescent="0.3">
      <c r="A446" s="5" t="s">
        <v>811</v>
      </c>
      <c r="B446" s="20">
        <v>10</v>
      </c>
      <c r="C446" s="21">
        <v>89153.441999999995</v>
      </c>
      <c r="D446" s="18">
        <f t="shared" si="18"/>
        <v>89153.441999999995</v>
      </c>
      <c r="E446" s="21">
        <f t="shared" si="19"/>
        <v>84695.769899999985</v>
      </c>
      <c r="F446" s="18">
        <v>1</v>
      </c>
      <c r="G446" s="23" t="s">
        <v>812</v>
      </c>
      <c r="H446" s="22" t="s">
        <v>1058</v>
      </c>
      <c r="I446" s="22" t="s">
        <v>1068</v>
      </c>
      <c r="J446" s="22" t="s">
        <v>1397</v>
      </c>
      <c r="K446" s="11" t="s">
        <v>1467</v>
      </c>
      <c r="M446" s="17">
        <f>IFERROR(
IF(
$A446="","",
(VLOOKUP($G446,'nuevos productoss'!$A:$E,4,0))
),$C446)</f>
        <v>87509.588000000003</v>
      </c>
      <c r="N446" s="17">
        <f>IFERROR(
IF(
$A446="","",
(VLOOKUP($G446,'nuevos productoss'!$A:$E,5,0))
),$C446)</f>
        <v>74160.58</v>
      </c>
      <c r="O446" s="17">
        <f t="shared" si="20"/>
        <v>13349.008000000002</v>
      </c>
    </row>
    <row r="447" spans="1:15" x14ac:dyDescent="0.3">
      <c r="A447" s="5" t="s">
        <v>813</v>
      </c>
      <c r="B447" s="20">
        <v>10</v>
      </c>
      <c r="C447" s="21">
        <v>37724.61</v>
      </c>
      <c r="D447" s="18">
        <f t="shared" si="18"/>
        <v>37724.61</v>
      </c>
      <c r="E447" s="21">
        <f t="shared" si="19"/>
        <v>35838.379499999995</v>
      </c>
      <c r="F447" s="18">
        <v>1</v>
      </c>
      <c r="G447" s="23" t="s">
        <v>814</v>
      </c>
      <c r="H447" s="22" t="s">
        <v>1058</v>
      </c>
      <c r="I447" s="22" t="s">
        <v>1068</v>
      </c>
      <c r="J447" s="22" t="s">
        <v>1398</v>
      </c>
      <c r="K447" s="11" t="s">
        <v>1467</v>
      </c>
      <c r="M447" s="17">
        <f>IFERROR(
IF(
$A447="","",
(VLOOKUP($G447,'nuevos productoss'!$A:$E,4,0))
),$C447)</f>
        <v>37029.008000000002</v>
      </c>
      <c r="N447" s="17">
        <f>IFERROR(
IF(
$A447="","",
(VLOOKUP($G447,'nuevos productoss'!$A:$E,5,0))
),$C447)</f>
        <v>31380.588</v>
      </c>
      <c r="O447" s="17">
        <f t="shared" si="20"/>
        <v>5648.4200000000019</v>
      </c>
    </row>
    <row r="448" spans="1:15" x14ac:dyDescent="0.3">
      <c r="A448" s="5" t="s">
        <v>815</v>
      </c>
      <c r="B448" s="20">
        <v>10</v>
      </c>
      <c r="C448" s="21">
        <v>206391.82199999999</v>
      </c>
      <c r="D448" s="18">
        <f t="shared" si="18"/>
        <v>206391.82199999999</v>
      </c>
      <c r="E448" s="21">
        <f t="shared" si="19"/>
        <v>196072.23089999997</v>
      </c>
      <c r="F448" s="18">
        <v>1</v>
      </c>
      <c r="G448" s="23" t="s">
        <v>816</v>
      </c>
      <c r="H448" s="22" t="s">
        <v>1058</v>
      </c>
      <c r="I448" s="22" t="s">
        <v>1068</v>
      </c>
      <c r="J448" s="22" t="s">
        <v>1399</v>
      </c>
      <c r="K448" s="11" t="s">
        <v>1467</v>
      </c>
      <c r="M448" s="17">
        <f>IFERROR(
IF(
$A448="","",
(VLOOKUP($G448,'nuevos productoss'!$A:$E,4,0))
),$C448)</f>
        <v>202629.76000000001</v>
      </c>
      <c r="N448" s="17">
        <f>IFERROR(
IF(
$A448="","",
(VLOOKUP($G448,'nuevos productoss'!$A:$E,5,0))
),$C448)</f>
        <v>171720.10800000001</v>
      </c>
      <c r="O448" s="17">
        <f t="shared" si="20"/>
        <v>30909.652000000002</v>
      </c>
    </row>
    <row r="449" spans="1:15" x14ac:dyDescent="0.3">
      <c r="A449" s="5" t="s">
        <v>817</v>
      </c>
      <c r="B449" s="20">
        <v>360</v>
      </c>
      <c r="C449" s="21">
        <v>15430.442999999999</v>
      </c>
      <c r="D449" s="18">
        <f t="shared" si="18"/>
        <v>15430.442999999999</v>
      </c>
      <c r="E449" s="21">
        <f t="shared" si="19"/>
        <v>14658.920849999999</v>
      </c>
      <c r="F449" s="18">
        <v>1</v>
      </c>
      <c r="G449" s="23" t="s">
        <v>818</v>
      </c>
      <c r="H449" s="22" t="s">
        <v>1055</v>
      </c>
      <c r="I449" s="22" t="s">
        <v>1066</v>
      </c>
      <c r="J449" s="22" t="s">
        <v>1400</v>
      </c>
      <c r="K449" s="11" t="s">
        <v>1467</v>
      </c>
      <c r="M449" s="17">
        <f>IFERROR(
IF(
$A449="","",
(VLOOKUP($G449,'nuevos productoss'!$A:$E,4,0))
),$C449)</f>
        <v>15154.164000000001</v>
      </c>
      <c r="N449" s="17">
        <f>IFERROR(
IF(
$A449="","",
(VLOOKUP($G449,'nuevos productoss'!$A:$E,5,0))
),$C449)</f>
        <v>12842.552</v>
      </c>
      <c r="O449" s="17">
        <f t="shared" si="20"/>
        <v>2311.612000000001</v>
      </c>
    </row>
    <row r="450" spans="1:15" x14ac:dyDescent="0.3">
      <c r="A450" s="5" t="s">
        <v>819</v>
      </c>
      <c r="B450" s="20">
        <v>360</v>
      </c>
      <c r="C450" s="21">
        <v>36893.178</v>
      </c>
      <c r="D450" s="18">
        <f t="shared" si="18"/>
        <v>36893.178</v>
      </c>
      <c r="E450" s="21">
        <f t="shared" si="19"/>
        <v>35048.519099999998</v>
      </c>
      <c r="F450" s="18">
        <v>1</v>
      </c>
      <c r="G450" s="23" t="s">
        <v>820</v>
      </c>
      <c r="H450" s="22" t="s">
        <v>1055</v>
      </c>
      <c r="I450" s="22" t="s">
        <v>1066</v>
      </c>
      <c r="J450" s="22" t="s">
        <v>1400</v>
      </c>
      <c r="K450" s="11" t="s">
        <v>1467</v>
      </c>
      <c r="M450" s="17">
        <f>IFERROR(
IF(
$A450="","",
(VLOOKUP($G450,'nuevos productoss'!$A:$E,4,0))
),$C450)</f>
        <v>36225.663999999997</v>
      </c>
      <c r="N450" s="17">
        <f>IFERROR(
IF(
$A450="","",
(VLOOKUP($G450,'nuevos productoss'!$A:$E,5,0))
),$C450)</f>
        <v>30699.788</v>
      </c>
      <c r="O450" s="17">
        <f t="shared" si="20"/>
        <v>5525.8759999999966</v>
      </c>
    </row>
    <row r="451" spans="1:15" x14ac:dyDescent="0.3">
      <c r="A451" s="5" t="s">
        <v>821</v>
      </c>
      <c r="B451" s="20">
        <v>15</v>
      </c>
      <c r="C451" s="21">
        <v>6490.491</v>
      </c>
      <c r="D451" s="18">
        <f t="shared" ref="D451:D514" si="21">+C451</f>
        <v>6490.491</v>
      </c>
      <c r="E451" s="21">
        <f t="shared" ref="E451:E514" si="22">IF(
A451="","",
C451*0.95)</f>
        <v>6165.9664499999999</v>
      </c>
      <c r="F451" s="18">
        <v>1</v>
      </c>
      <c r="G451" s="23" t="s">
        <v>822</v>
      </c>
      <c r="H451" s="22" t="s">
        <v>1046</v>
      </c>
      <c r="I451" s="22" t="s">
        <v>1049</v>
      </c>
      <c r="J451" s="22" t="s">
        <v>1401</v>
      </c>
      <c r="K451" s="11" t="s">
        <v>1467</v>
      </c>
      <c r="M451" s="17">
        <f>IFERROR(
IF(
$A451="","",
(VLOOKUP($G451,'nuevos productoss'!$A:$E,4,0))
),$C451)</f>
        <v>6370.808</v>
      </c>
      <c r="N451" s="17">
        <f>IFERROR(
IF(
$A451="","",
(VLOOKUP($G451,'nuevos productoss'!$A:$E,5,0))
),$C451)</f>
        <v>5399.04</v>
      </c>
      <c r="O451" s="17">
        <f t="shared" ref="O451:O514" si="23">IFERROR(M451-N451,0)</f>
        <v>971.76800000000003</v>
      </c>
    </row>
    <row r="452" spans="1:15" x14ac:dyDescent="0.3">
      <c r="A452" s="5" t="s">
        <v>823</v>
      </c>
      <c r="B452" s="20">
        <v>999</v>
      </c>
      <c r="C452" s="21">
        <v>318532.38900000002</v>
      </c>
      <c r="D452" s="18">
        <f t="shared" si="21"/>
        <v>318532.38900000002</v>
      </c>
      <c r="E452" s="21">
        <f t="shared" si="22"/>
        <v>302605.76955000003</v>
      </c>
      <c r="F452" s="18">
        <v>1</v>
      </c>
      <c r="G452" s="23" t="s">
        <v>824</v>
      </c>
      <c r="H452" s="22" t="s">
        <v>1055</v>
      </c>
      <c r="I452" s="22" t="s">
        <v>1066</v>
      </c>
      <c r="J452" s="22" t="s">
        <v>1402</v>
      </c>
      <c r="K452" s="11" t="s">
        <v>1467</v>
      </c>
      <c r="M452" s="17">
        <f>IFERROR(
IF(
$A452="","",
(VLOOKUP($G452,'nuevos productoss'!$A:$E,4,0))
),$C452)</f>
        <v>312659.02799999999</v>
      </c>
      <c r="N452" s="17">
        <f>IFERROR(
IF(
$A452="","",
(VLOOKUP($G452,'nuevos productoss'!$A:$E,5,0))
),$C452)</f>
        <v>264965.288</v>
      </c>
      <c r="O452" s="17">
        <f t="shared" si="23"/>
        <v>47693.739999999991</v>
      </c>
    </row>
    <row r="453" spans="1:15" x14ac:dyDescent="0.3">
      <c r="A453" s="5" t="s">
        <v>825</v>
      </c>
      <c r="B453" s="20">
        <v>999</v>
      </c>
      <c r="C453" s="21">
        <v>387180.65399999998</v>
      </c>
      <c r="D453" s="18">
        <f t="shared" si="21"/>
        <v>387180.65399999998</v>
      </c>
      <c r="E453" s="21">
        <f t="shared" si="22"/>
        <v>367821.62129999994</v>
      </c>
      <c r="F453" s="18">
        <v>1</v>
      </c>
      <c r="G453" s="23" t="s">
        <v>826</v>
      </c>
      <c r="H453" s="22" t="s">
        <v>1055</v>
      </c>
      <c r="I453" s="22" t="s">
        <v>1066</v>
      </c>
      <c r="J453" s="22" t="s">
        <v>1403</v>
      </c>
      <c r="K453" s="11" t="s">
        <v>1467</v>
      </c>
      <c r="M453" s="17">
        <f>IFERROR(
IF(
$A453="","",
(VLOOKUP($G453,'nuevos productoss'!$A:$E,4,0))
),$C453)</f>
        <v>370040.25599999999</v>
      </c>
      <c r="N453" s="17">
        <f>IFERROR(
IF(
$A453="","",
(VLOOKUP($G453,'nuevos productoss'!$A:$E,5,0))
),$C453)</f>
        <v>313593.5</v>
      </c>
      <c r="O453" s="17">
        <f t="shared" si="23"/>
        <v>56446.755999999994</v>
      </c>
    </row>
    <row r="454" spans="1:15" x14ac:dyDescent="0.3">
      <c r="A454" s="5" t="s">
        <v>827</v>
      </c>
      <c r="B454" s="20">
        <v>180</v>
      </c>
      <c r="C454" s="21">
        <v>88581.611999999994</v>
      </c>
      <c r="D454" s="18">
        <f t="shared" si="21"/>
        <v>88581.611999999994</v>
      </c>
      <c r="E454" s="21">
        <f t="shared" si="22"/>
        <v>84152.531399999993</v>
      </c>
      <c r="F454" s="18">
        <v>1</v>
      </c>
      <c r="G454" s="23" t="s">
        <v>828</v>
      </c>
      <c r="H454" s="22" t="s">
        <v>1058</v>
      </c>
      <c r="I454" s="22" t="s">
        <v>1067</v>
      </c>
      <c r="J454" s="22" t="s">
        <v>1404</v>
      </c>
      <c r="K454" s="11" t="s">
        <v>1467</v>
      </c>
      <c r="M454" s="17">
        <f>IFERROR(
IF(
$A454="","",
(VLOOKUP($G454,'nuevos productoss'!$A:$E,4,0))
),$C454)</f>
        <v>86948.372000000003</v>
      </c>
      <c r="N454" s="17">
        <f>IFERROR(
IF(
$A454="","",
(VLOOKUP($G454,'nuevos productoss'!$A:$E,5,0))
),$C454)</f>
        <v>73685.055999999997</v>
      </c>
      <c r="O454" s="17">
        <f t="shared" si="23"/>
        <v>13263.316000000006</v>
      </c>
    </row>
    <row r="455" spans="1:15" x14ac:dyDescent="0.3">
      <c r="A455" s="5" t="s">
        <v>829</v>
      </c>
      <c r="B455" s="20">
        <v>180</v>
      </c>
      <c r="C455" s="21">
        <v>107363.067</v>
      </c>
      <c r="D455" s="18">
        <f t="shared" si="21"/>
        <v>107363.067</v>
      </c>
      <c r="E455" s="21">
        <f t="shared" si="22"/>
        <v>101994.91364999999</v>
      </c>
      <c r="F455" s="18">
        <v>1</v>
      </c>
      <c r="G455" s="23" t="s">
        <v>830</v>
      </c>
      <c r="H455" s="22" t="s">
        <v>1058</v>
      </c>
      <c r="I455" s="22" t="s">
        <v>1067</v>
      </c>
      <c r="J455" s="22" t="s">
        <v>1405</v>
      </c>
      <c r="K455" s="11" t="s">
        <v>1467</v>
      </c>
      <c r="M455" s="17">
        <f>IFERROR(
IF(
$A455="","",
(VLOOKUP($G455,'nuevos productoss'!$A:$E,4,0))
),$C455)</f>
        <v>105406.04399999999</v>
      </c>
      <c r="N455" s="17">
        <f>IFERROR(
IF(
$A455="","",
(VLOOKUP($G455,'nuevos productoss'!$A:$E,5,0))
),$C455)</f>
        <v>89327.176000000007</v>
      </c>
      <c r="O455" s="17">
        <f t="shared" si="23"/>
        <v>16078.867999999988</v>
      </c>
    </row>
    <row r="456" spans="1:15" x14ac:dyDescent="0.3">
      <c r="A456" s="5" t="s">
        <v>831</v>
      </c>
      <c r="B456" s="20">
        <v>15</v>
      </c>
      <c r="C456" s="21">
        <v>9461.5079999999998</v>
      </c>
      <c r="D456" s="18">
        <f t="shared" si="21"/>
        <v>9461.5079999999998</v>
      </c>
      <c r="E456" s="21">
        <f t="shared" si="22"/>
        <v>8988.4326000000001</v>
      </c>
      <c r="F456" s="18">
        <v>1</v>
      </c>
      <c r="G456" s="23" t="s">
        <v>832</v>
      </c>
      <c r="H456" s="22" t="s">
        <v>1058</v>
      </c>
      <c r="I456" s="22" t="s">
        <v>1030</v>
      </c>
      <c r="J456" s="22" t="s">
        <v>1406</v>
      </c>
      <c r="K456" s="11" t="s">
        <v>1467</v>
      </c>
      <c r="M456" s="17">
        <f>IFERROR(
IF(
$A456="","",
(VLOOKUP($G456,'nuevos productoss'!$A:$E,4,0))
),$C456)</f>
        <v>9287.74</v>
      </c>
      <c r="N456" s="17">
        <f>IFERROR(
IF(
$A456="","",
(VLOOKUP($G456,'nuevos productoss'!$A:$E,5,0))
),$C456)</f>
        <v>7870.9359999999997</v>
      </c>
      <c r="O456" s="17">
        <f t="shared" si="23"/>
        <v>1416.8040000000001</v>
      </c>
    </row>
    <row r="457" spans="1:15" x14ac:dyDescent="0.3">
      <c r="A457" s="5" t="s">
        <v>833</v>
      </c>
      <c r="B457" s="20">
        <v>15</v>
      </c>
      <c r="C457" s="21">
        <v>12066.348</v>
      </c>
      <c r="D457" s="18">
        <f t="shared" si="21"/>
        <v>12066.348</v>
      </c>
      <c r="E457" s="21">
        <f t="shared" si="22"/>
        <v>11463.0306</v>
      </c>
      <c r="F457" s="18">
        <v>1</v>
      </c>
      <c r="G457" s="23" t="s">
        <v>834</v>
      </c>
      <c r="H457" s="22" t="s">
        <v>1058</v>
      </c>
      <c r="I457" s="22" t="s">
        <v>1030</v>
      </c>
      <c r="J457" s="22" t="s">
        <v>1407</v>
      </c>
      <c r="K457" s="11" t="s">
        <v>1467</v>
      </c>
      <c r="M457" s="17">
        <f>IFERROR(
IF(
$A457="","",
(VLOOKUP($G457,'nuevos productoss'!$A:$E,4,0))
),$C457)</f>
        <v>11490.276</v>
      </c>
      <c r="N457" s="17">
        <f>IFERROR(
IF(
$A457="","",
(VLOOKUP($G457,'nuevos productoss'!$A:$E,5,0))
),$C457)</f>
        <v>9737.5120000000006</v>
      </c>
      <c r="O457" s="17">
        <f t="shared" si="23"/>
        <v>1752.7639999999992</v>
      </c>
    </row>
    <row r="458" spans="1:15" x14ac:dyDescent="0.3">
      <c r="A458" s="5" t="s">
        <v>835</v>
      </c>
      <c r="B458" s="20">
        <v>15</v>
      </c>
      <c r="C458" s="21">
        <v>16564.547999999999</v>
      </c>
      <c r="D458" s="18">
        <f t="shared" si="21"/>
        <v>16564.547999999999</v>
      </c>
      <c r="E458" s="21">
        <f t="shared" si="22"/>
        <v>15736.320599999997</v>
      </c>
      <c r="F458" s="18">
        <v>1</v>
      </c>
      <c r="G458" s="23" t="s">
        <v>836</v>
      </c>
      <c r="H458" s="22" t="s">
        <v>1058</v>
      </c>
      <c r="I458" s="22" t="s">
        <v>1030</v>
      </c>
      <c r="J458" s="22" t="s">
        <v>1408</v>
      </c>
      <c r="K458" s="11" t="s">
        <v>1467</v>
      </c>
      <c r="M458" s="17">
        <f>IFERROR(
IF(
$A458="","",
(VLOOKUP($G458,'nuevos productoss'!$A:$E,4,0))
),$C458)</f>
        <v>15809.064</v>
      </c>
      <c r="N458" s="17">
        <f>IFERROR(
IF(
$A458="","",
(VLOOKUP($G458,'nuevos productoss'!$A:$E,5,0))
),$C458)</f>
        <v>13397.552</v>
      </c>
      <c r="O458" s="17">
        <f t="shared" si="23"/>
        <v>2411.5120000000006</v>
      </c>
    </row>
    <row r="459" spans="1:15" x14ac:dyDescent="0.3">
      <c r="A459" s="5" t="s">
        <v>837</v>
      </c>
      <c r="B459" s="20">
        <v>180</v>
      </c>
      <c r="C459" s="21">
        <v>26322.995999999999</v>
      </c>
      <c r="D459" s="18">
        <f t="shared" si="21"/>
        <v>26322.995999999999</v>
      </c>
      <c r="E459" s="21">
        <f t="shared" si="22"/>
        <v>25006.846199999996</v>
      </c>
      <c r="F459" s="18">
        <v>1</v>
      </c>
      <c r="G459" s="23" t="s">
        <v>838</v>
      </c>
      <c r="H459" s="22" t="s">
        <v>1058</v>
      </c>
      <c r="I459" s="22" t="s">
        <v>1030</v>
      </c>
      <c r="J459" s="22" t="s">
        <v>1409</v>
      </c>
      <c r="K459" s="11" t="s">
        <v>1467</v>
      </c>
      <c r="M459" s="17">
        <f>IFERROR(
IF(
$A459="","",
(VLOOKUP($G459,'nuevos productoss'!$A:$E,4,0))
),$C459)</f>
        <v>25839.616000000002</v>
      </c>
      <c r="N459" s="17">
        <f>IFERROR(
IF(
$A459="","",
(VLOOKUP($G459,'nuevos productoss'!$A:$E,5,0))
),$C459)</f>
        <v>21897.932000000001</v>
      </c>
      <c r="O459" s="17">
        <f t="shared" si="23"/>
        <v>3941.6840000000011</v>
      </c>
    </row>
    <row r="460" spans="1:15" x14ac:dyDescent="0.3">
      <c r="A460" s="5" t="s">
        <v>839</v>
      </c>
      <c r="B460" s="20">
        <v>15</v>
      </c>
      <c r="C460" s="21">
        <v>23262.014999999999</v>
      </c>
      <c r="D460" s="18">
        <f t="shared" si="21"/>
        <v>23262.014999999999</v>
      </c>
      <c r="E460" s="21">
        <f t="shared" si="22"/>
        <v>22098.914249999998</v>
      </c>
      <c r="F460" s="18">
        <v>1</v>
      </c>
      <c r="G460" s="23" t="s">
        <v>840</v>
      </c>
      <c r="H460" s="22" t="s">
        <v>1058</v>
      </c>
      <c r="I460" s="22" t="s">
        <v>1030</v>
      </c>
      <c r="J460" s="22" t="s">
        <v>1410</v>
      </c>
      <c r="K460" s="11" t="s">
        <v>1467</v>
      </c>
      <c r="M460" s="17">
        <f>IFERROR(
IF(
$A460="","",
(VLOOKUP($G460,'nuevos productoss'!$A:$E,4,0))
),$C460)</f>
        <v>14053.784</v>
      </c>
      <c r="N460" s="17">
        <f>IFERROR(
IF(
$A460="","",
(VLOOKUP($G460,'nuevos productoss'!$A:$E,5,0))
),$C460)</f>
        <v>11910.004000000001</v>
      </c>
      <c r="O460" s="17">
        <f t="shared" si="23"/>
        <v>2143.7799999999988</v>
      </c>
    </row>
    <row r="461" spans="1:15" x14ac:dyDescent="0.3">
      <c r="A461" s="5" t="s">
        <v>841</v>
      </c>
      <c r="B461" s="20">
        <v>180</v>
      </c>
      <c r="C461" s="21">
        <v>16791.516</v>
      </c>
      <c r="D461" s="18">
        <f t="shared" si="21"/>
        <v>16791.516</v>
      </c>
      <c r="E461" s="21">
        <f t="shared" si="22"/>
        <v>15951.940199999999</v>
      </c>
      <c r="F461" s="18">
        <v>1</v>
      </c>
      <c r="G461" s="23" t="s">
        <v>842</v>
      </c>
      <c r="H461" s="22" t="s">
        <v>1058</v>
      </c>
      <c r="I461" s="22" t="s">
        <v>1030</v>
      </c>
      <c r="J461" s="22" t="s">
        <v>1411</v>
      </c>
      <c r="K461" s="11" t="s">
        <v>1467</v>
      </c>
      <c r="M461" s="17">
        <f>IFERROR(
IF(
$A461="","",
(VLOOKUP($G461,'nuevos productoss'!$A:$E,4,0))
),$C461)</f>
        <v>14991.067999999999</v>
      </c>
      <c r="N461" s="17">
        <f>IFERROR(
IF(
$A461="","",
(VLOOKUP($G461,'nuevos productoss'!$A:$E,5,0))
),$C461)</f>
        <v>12704.32</v>
      </c>
      <c r="O461" s="17">
        <f t="shared" si="23"/>
        <v>2286.7479999999996</v>
      </c>
    </row>
    <row r="462" spans="1:15" x14ac:dyDescent="0.3">
      <c r="A462" s="5" t="s">
        <v>843</v>
      </c>
      <c r="B462" s="20">
        <v>15</v>
      </c>
      <c r="C462" s="21">
        <v>25126.562999999998</v>
      </c>
      <c r="D462" s="18">
        <f t="shared" si="21"/>
        <v>25126.562999999998</v>
      </c>
      <c r="E462" s="21">
        <f t="shared" si="22"/>
        <v>23870.234849999997</v>
      </c>
      <c r="F462" s="18">
        <v>1</v>
      </c>
      <c r="G462" s="23" t="s">
        <v>844</v>
      </c>
      <c r="H462" s="22" t="s">
        <v>1058</v>
      </c>
      <c r="I462" s="22" t="s">
        <v>1030</v>
      </c>
      <c r="J462" s="22" t="s">
        <v>1412</v>
      </c>
      <c r="K462" s="11" t="s">
        <v>1467</v>
      </c>
      <c r="M462" s="17">
        <f>IFERROR(
IF(
$A462="","",
(VLOOKUP($G462,'nuevos productoss'!$A:$E,4,0))
),$C462)</f>
        <v>24665.088</v>
      </c>
      <c r="N462" s="17">
        <f>IFERROR(
IF(
$A462="","",
(VLOOKUP($G462,'nuevos productoss'!$A:$E,5,0))
),$C462)</f>
        <v>20902.632000000001</v>
      </c>
      <c r="O462" s="17">
        <f t="shared" si="23"/>
        <v>3762.4559999999983</v>
      </c>
    </row>
    <row r="463" spans="1:15" x14ac:dyDescent="0.3">
      <c r="A463" s="5" t="s">
        <v>845</v>
      </c>
      <c r="B463" s="20">
        <v>180</v>
      </c>
      <c r="C463" s="21">
        <v>17882.402999999998</v>
      </c>
      <c r="D463" s="18">
        <f t="shared" si="21"/>
        <v>17882.402999999998</v>
      </c>
      <c r="E463" s="21">
        <f t="shared" si="22"/>
        <v>16988.282849999996</v>
      </c>
      <c r="F463" s="18">
        <v>1</v>
      </c>
      <c r="G463" s="23" t="s">
        <v>846</v>
      </c>
      <c r="H463" s="22" t="s">
        <v>1058</v>
      </c>
      <c r="I463" s="22" t="s">
        <v>1030</v>
      </c>
      <c r="J463" s="22" t="s">
        <v>1413</v>
      </c>
      <c r="K463" s="11" t="s">
        <v>1467</v>
      </c>
      <c r="M463" s="17">
        <f>IFERROR(
IF(
$A463="","",
(VLOOKUP($G463,'nuevos productoss'!$A:$E,4,0))
),$C463)</f>
        <v>17555.168000000001</v>
      </c>
      <c r="N463" s="17">
        <f>IFERROR(
IF(
$A463="","",
(VLOOKUP($G463,'nuevos productoss'!$A:$E,5,0))
),$C463)</f>
        <v>14877.255999999999</v>
      </c>
      <c r="O463" s="17">
        <f t="shared" si="23"/>
        <v>2677.9120000000021</v>
      </c>
    </row>
    <row r="464" spans="1:15" x14ac:dyDescent="0.3">
      <c r="A464" s="5" t="s">
        <v>847</v>
      </c>
      <c r="B464" s="20">
        <v>180</v>
      </c>
      <c r="C464" s="21">
        <v>31794.483</v>
      </c>
      <c r="D464" s="18">
        <f t="shared" si="21"/>
        <v>31794.483</v>
      </c>
      <c r="E464" s="21">
        <f t="shared" si="22"/>
        <v>30204.758849999998</v>
      </c>
      <c r="F464" s="18">
        <v>1</v>
      </c>
      <c r="G464" s="23" t="s">
        <v>848</v>
      </c>
      <c r="H464" s="22" t="s">
        <v>1058</v>
      </c>
      <c r="I464" s="22" t="s">
        <v>1030</v>
      </c>
      <c r="J464" s="22" t="s">
        <v>1414</v>
      </c>
      <c r="K464" s="11" t="s">
        <v>1467</v>
      </c>
      <c r="M464" s="17">
        <f>IFERROR(
IF(
$A464="","",
(VLOOKUP($G464,'nuevos productoss'!$A:$E,4,0))
),$C464)</f>
        <v>31794.483</v>
      </c>
      <c r="N464" s="17">
        <f>IFERROR(
IF(
$A464="","",
(VLOOKUP($G464,'nuevos productoss'!$A:$E,5,0))
),$C464)</f>
        <v>31794.483</v>
      </c>
      <c r="O464" s="17">
        <f t="shared" si="23"/>
        <v>0</v>
      </c>
    </row>
    <row r="465" spans="1:15" x14ac:dyDescent="0.3">
      <c r="A465" s="5" t="s">
        <v>849</v>
      </c>
      <c r="B465" s="20">
        <v>15</v>
      </c>
      <c r="C465" s="21">
        <v>16480.464</v>
      </c>
      <c r="D465" s="18">
        <f t="shared" si="21"/>
        <v>16480.464</v>
      </c>
      <c r="E465" s="21">
        <f t="shared" si="22"/>
        <v>15656.440799999998</v>
      </c>
      <c r="F465" s="18">
        <v>1</v>
      </c>
      <c r="G465" s="23" t="s">
        <v>850</v>
      </c>
      <c r="H465" s="22" t="s">
        <v>1058</v>
      </c>
      <c r="I465" s="22" t="s">
        <v>1030</v>
      </c>
      <c r="J465" s="22" t="s">
        <v>1415</v>
      </c>
      <c r="K465" s="11" t="s">
        <v>1467</v>
      </c>
      <c r="M465" s="17">
        <f>IFERROR(
IF(
$A465="","",
(VLOOKUP($G465,'nuevos productoss'!$A:$E,4,0))
),$C465)</f>
        <v>16178.915999999999</v>
      </c>
      <c r="N465" s="17">
        <f>IFERROR(
IF(
$A465="","",
(VLOOKUP($G465,'nuevos productoss'!$A:$E,5,0))
),$C465)</f>
        <v>13711.016</v>
      </c>
      <c r="O465" s="17">
        <f t="shared" si="23"/>
        <v>2467.8999999999996</v>
      </c>
    </row>
    <row r="466" spans="1:15" x14ac:dyDescent="0.3">
      <c r="B466" s="20"/>
      <c r="C466" s="21"/>
      <c r="D466" s="18">
        <f t="shared" si="21"/>
        <v>0</v>
      </c>
      <c r="E466" s="21" t="str">
        <f t="shared" si="22"/>
        <v/>
      </c>
      <c r="F466" s="18"/>
      <c r="G466" s="5"/>
      <c r="H466" s="22" t="s">
        <v>1865</v>
      </c>
      <c r="I466" s="22" t="s">
        <v>1865</v>
      </c>
      <c r="J466" s="22" t="s">
        <v>1865</v>
      </c>
      <c r="K466" s="11" t="s">
        <v>1467</v>
      </c>
      <c r="M466" s="17" t="str">
        <f>IFERROR(
IF(
$A466="","",
(VLOOKUP($G466,'nuevos productoss'!$A:$E,4,0))
),$C466)</f>
        <v/>
      </c>
      <c r="N466" s="17" t="str">
        <f>IFERROR(
IF(
$A466="","",
(VLOOKUP($G466,'nuevos productoss'!$A:$E,5,0))
),$C466)</f>
        <v/>
      </c>
      <c r="O466" s="17">
        <f t="shared" si="23"/>
        <v>0</v>
      </c>
    </row>
    <row r="467" spans="1:15" x14ac:dyDescent="0.3">
      <c r="A467" s="5" t="s">
        <v>851</v>
      </c>
      <c r="B467" s="20">
        <v>15</v>
      </c>
      <c r="C467" s="21">
        <v>21354.543000000001</v>
      </c>
      <c r="D467" s="18">
        <f t="shared" si="21"/>
        <v>21354.543000000001</v>
      </c>
      <c r="E467" s="21">
        <f t="shared" si="22"/>
        <v>20286.815849999999</v>
      </c>
      <c r="F467" s="18">
        <v>1</v>
      </c>
      <c r="G467" s="23" t="s">
        <v>852</v>
      </c>
      <c r="H467" s="22" t="s">
        <v>1058</v>
      </c>
      <c r="I467" s="22" t="s">
        <v>1030</v>
      </c>
      <c r="J467" s="22" t="s">
        <v>1416</v>
      </c>
      <c r="K467" s="11" t="s">
        <v>1467</v>
      </c>
      <c r="M467" s="17">
        <f>IFERROR(
IF(
$A467="","",
(VLOOKUP($G467,'nuevos productoss'!$A:$E,4,0))
),$C467)</f>
        <v>20960.795999999998</v>
      </c>
      <c r="N467" s="17">
        <f>IFERROR(
IF(
$A467="","",
(VLOOKUP($G467,'nuevos productoss'!$A:$E,5,0))
),$C467)</f>
        <v>17763.403999999999</v>
      </c>
      <c r="O467" s="17">
        <f t="shared" si="23"/>
        <v>3197.3919999999998</v>
      </c>
    </row>
    <row r="468" spans="1:15" x14ac:dyDescent="0.3">
      <c r="A468" s="5" t="s">
        <v>853</v>
      </c>
      <c r="B468" s="20">
        <v>15</v>
      </c>
      <c r="C468" s="21">
        <v>33861.008999999998</v>
      </c>
      <c r="D468" s="18">
        <f t="shared" si="21"/>
        <v>33861.008999999998</v>
      </c>
      <c r="E468" s="21">
        <f t="shared" si="22"/>
        <v>32167.958549999996</v>
      </c>
      <c r="F468" s="18">
        <v>1</v>
      </c>
      <c r="G468" s="23" t="s">
        <v>854</v>
      </c>
      <c r="H468" s="22" t="s">
        <v>1058</v>
      </c>
      <c r="I468" s="22" t="s">
        <v>1030</v>
      </c>
      <c r="J468" s="22" t="s">
        <v>1417</v>
      </c>
      <c r="K468" s="11" t="s">
        <v>1467</v>
      </c>
      <c r="M468" s="17">
        <f>IFERROR(
IF(
$A468="","",
(VLOOKUP($G468,'nuevos productoss'!$A:$E,4,0))
),$C468)</f>
        <v>33239.023999999998</v>
      </c>
      <c r="N468" s="17">
        <f>IFERROR(
IF(
$A468="","",
(VLOOKUP($G468,'nuevos productoss'!$A:$E,5,0))
),$C468)</f>
        <v>28168.691999999999</v>
      </c>
      <c r="O468" s="17">
        <f t="shared" si="23"/>
        <v>5070.3319999999985</v>
      </c>
    </row>
    <row r="469" spans="1:15" x14ac:dyDescent="0.3">
      <c r="A469" s="5" t="s">
        <v>855</v>
      </c>
      <c r="B469" s="20">
        <v>15</v>
      </c>
      <c r="C469" s="21">
        <v>36184.050000000003</v>
      </c>
      <c r="D469" s="18">
        <f t="shared" si="21"/>
        <v>36184.050000000003</v>
      </c>
      <c r="E469" s="21">
        <f t="shared" si="22"/>
        <v>34374.847500000003</v>
      </c>
      <c r="F469" s="18">
        <v>1</v>
      </c>
      <c r="G469" s="23" t="s">
        <v>856</v>
      </c>
      <c r="H469" s="22" t="s">
        <v>1058</v>
      </c>
      <c r="I469" s="22" t="s">
        <v>1030</v>
      </c>
      <c r="J469" s="22" t="s">
        <v>1418</v>
      </c>
      <c r="K469" s="11" t="s">
        <v>1467</v>
      </c>
      <c r="M469" s="17">
        <f>IFERROR(
IF(
$A469="","",
(VLOOKUP($G469,'nuevos productoss'!$A:$E,4,0))
),$C469)</f>
        <v>33403.451999999997</v>
      </c>
      <c r="N469" s="17">
        <f>IFERROR(
IF(
$A469="","",
(VLOOKUP($G469,'nuevos productoss'!$A:$E,5,0))
),$C469)</f>
        <v>28308.108</v>
      </c>
      <c r="O469" s="17">
        <f t="shared" si="23"/>
        <v>5095.3439999999973</v>
      </c>
    </row>
    <row r="470" spans="1:15" x14ac:dyDescent="0.3">
      <c r="A470" s="5" t="s">
        <v>857</v>
      </c>
      <c r="B470" s="20">
        <v>15</v>
      </c>
      <c r="C470" s="21">
        <v>40336.358999999997</v>
      </c>
      <c r="D470" s="18">
        <f t="shared" si="21"/>
        <v>40336.358999999997</v>
      </c>
      <c r="E470" s="21">
        <f t="shared" si="22"/>
        <v>38319.541049999993</v>
      </c>
      <c r="F470" s="18">
        <v>1</v>
      </c>
      <c r="G470" s="23" t="s">
        <v>858</v>
      </c>
      <c r="H470" s="22" t="s">
        <v>1058</v>
      </c>
      <c r="I470" s="22" t="s">
        <v>1030</v>
      </c>
      <c r="J470" s="22" t="s">
        <v>1419</v>
      </c>
      <c r="K470" s="11" t="s">
        <v>1467</v>
      </c>
      <c r="M470" s="17">
        <f>IFERROR(
IF(
$A470="","",
(VLOOKUP($G470,'nuevos productoss'!$A:$E,4,0))
),$C470)</f>
        <v>36692.160000000003</v>
      </c>
      <c r="N470" s="17">
        <f>IFERROR(
IF(
$A470="","",
(VLOOKUP($G470,'nuevos productoss'!$A:$E,5,0))
),$C470)</f>
        <v>31095.096000000001</v>
      </c>
      <c r="O470" s="17">
        <f t="shared" si="23"/>
        <v>5597.0640000000021</v>
      </c>
    </row>
    <row r="471" spans="1:15" x14ac:dyDescent="0.3">
      <c r="A471" s="5" t="s">
        <v>859</v>
      </c>
      <c r="B471" s="20">
        <v>15</v>
      </c>
      <c r="C471" s="21">
        <v>45081.665999999997</v>
      </c>
      <c r="D471" s="18">
        <f t="shared" si="21"/>
        <v>45081.665999999997</v>
      </c>
      <c r="E471" s="21">
        <f t="shared" si="22"/>
        <v>42827.582699999999</v>
      </c>
      <c r="F471" s="18">
        <v>1</v>
      </c>
      <c r="G471" s="23" t="s">
        <v>860</v>
      </c>
      <c r="H471" s="22" t="s">
        <v>1058</v>
      </c>
      <c r="I471" s="22" t="s">
        <v>1030</v>
      </c>
      <c r="J471" s="22" t="s">
        <v>1420</v>
      </c>
      <c r="K471" s="11" t="s">
        <v>1467</v>
      </c>
      <c r="M471" s="17">
        <f>IFERROR(
IF(
$A471="","",
(VLOOKUP($G471,'nuevos productoss'!$A:$E,4,0))
),$C471)</f>
        <v>41595.4</v>
      </c>
      <c r="N471" s="17">
        <f>IFERROR(
IF(
$A471="","",
(VLOOKUP($G471,'nuevos productoss'!$A:$E,5,0))
),$C471)</f>
        <v>35250.343999999997</v>
      </c>
      <c r="O471" s="17">
        <f t="shared" si="23"/>
        <v>6345.0560000000041</v>
      </c>
    </row>
    <row r="472" spans="1:15" x14ac:dyDescent="0.3">
      <c r="A472" s="5" t="s">
        <v>861</v>
      </c>
      <c r="B472" s="20">
        <v>15</v>
      </c>
      <c r="C472" s="21">
        <v>122188.899</v>
      </c>
      <c r="D472" s="18">
        <f t="shared" si="21"/>
        <v>122188.899</v>
      </c>
      <c r="E472" s="21">
        <f t="shared" si="22"/>
        <v>116079.45405</v>
      </c>
      <c r="F472" s="18">
        <v>1</v>
      </c>
      <c r="G472" s="23" t="s">
        <v>862</v>
      </c>
      <c r="H472" s="22" t="s">
        <v>1058</v>
      </c>
      <c r="I472" s="22" t="s">
        <v>1030</v>
      </c>
      <c r="J472" s="22" t="s">
        <v>1421</v>
      </c>
      <c r="K472" s="11" t="s">
        <v>1467</v>
      </c>
      <c r="M472" s="17">
        <f>IFERROR(
IF(
$A472="","",
(VLOOKUP($G472,'nuevos productoss'!$A:$E,4,0))
),$C472)</f>
        <v>119944.67600000001</v>
      </c>
      <c r="N472" s="17">
        <f>IFERROR(
IF(
$A472="","",
(VLOOKUP($G472,'nuevos productoss'!$A:$E,5,0))
),$C472)</f>
        <v>101648.02800000001</v>
      </c>
      <c r="O472" s="17">
        <f t="shared" si="23"/>
        <v>18296.648000000001</v>
      </c>
    </row>
    <row r="473" spans="1:15" x14ac:dyDescent="0.3">
      <c r="A473" s="5" t="s">
        <v>863</v>
      </c>
      <c r="B473" s="20">
        <v>15</v>
      </c>
      <c r="C473" s="21">
        <v>141501.171</v>
      </c>
      <c r="D473" s="18">
        <f t="shared" si="21"/>
        <v>141501.171</v>
      </c>
      <c r="E473" s="21">
        <f t="shared" si="22"/>
        <v>134426.11244999999</v>
      </c>
      <c r="F473" s="18">
        <v>1</v>
      </c>
      <c r="G473" s="23" t="s">
        <v>864</v>
      </c>
      <c r="H473" s="22" t="s">
        <v>1058</v>
      </c>
      <c r="I473" s="22" t="s">
        <v>1030</v>
      </c>
      <c r="J473" s="22" t="s">
        <v>1422</v>
      </c>
      <c r="K473" s="11" t="s">
        <v>1467</v>
      </c>
      <c r="M473" s="17">
        <f>IFERROR(
IF(
$A473="","",
(VLOOKUP($G473,'nuevos productoss'!$A:$E,4,0))
),$C473)</f>
        <v>141501.171</v>
      </c>
      <c r="N473" s="17">
        <f>IFERROR(
IF(
$A473="","",
(VLOOKUP($G473,'nuevos productoss'!$A:$E,5,0))
),$C473)</f>
        <v>141501.171</v>
      </c>
      <c r="O473" s="17">
        <f t="shared" si="23"/>
        <v>0</v>
      </c>
    </row>
    <row r="474" spans="1:15" x14ac:dyDescent="0.3">
      <c r="A474" s="5" t="s">
        <v>865</v>
      </c>
      <c r="B474" s="20">
        <v>30</v>
      </c>
      <c r="C474" s="21">
        <v>24234.566999999999</v>
      </c>
      <c r="D474" s="18">
        <f t="shared" si="21"/>
        <v>24234.566999999999</v>
      </c>
      <c r="E474" s="21">
        <f t="shared" si="22"/>
        <v>23022.838649999998</v>
      </c>
      <c r="F474" s="18">
        <v>1</v>
      </c>
      <c r="G474" s="23" t="s">
        <v>866</v>
      </c>
      <c r="H474" s="22" t="s">
        <v>1058</v>
      </c>
      <c r="I474" s="22" t="s">
        <v>1065</v>
      </c>
      <c r="J474" s="22" t="s">
        <v>1423</v>
      </c>
      <c r="K474" s="11" t="s">
        <v>1467</v>
      </c>
      <c r="M474" s="17">
        <f>IFERROR(
IF(
$A474="","",
(VLOOKUP($G474,'nuevos productoss'!$A:$E,4,0))
),$C474)</f>
        <v>23789.52</v>
      </c>
      <c r="N474" s="17">
        <f>IFERROR(
IF(
$A474="","",
(VLOOKUP($G474,'nuevos productoss'!$A:$E,5,0))
),$C474)</f>
        <v>20160.560000000001</v>
      </c>
      <c r="O474" s="17">
        <f t="shared" si="23"/>
        <v>3628.9599999999991</v>
      </c>
    </row>
    <row r="475" spans="1:15" x14ac:dyDescent="0.3">
      <c r="A475" s="5" t="s">
        <v>867</v>
      </c>
      <c r="B475" s="20">
        <v>30</v>
      </c>
      <c r="C475" s="21">
        <v>20166.195</v>
      </c>
      <c r="D475" s="18">
        <f t="shared" si="21"/>
        <v>20166.195</v>
      </c>
      <c r="E475" s="21">
        <f t="shared" si="22"/>
        <v>19157.885249999999</v>
      </c>
      <c r="F475" s="18">
        <v>1</v>
      </c>
      <c r="G475" s="23" t="s">
        <v>868</v>
      </c>
      <c r="H475" s="22" t="s">
        <v>1058</v>
      </c>
      <c r="I475" s="22" t="s">
        <v>1065</v>
      </c>
      <c r="J475" s="22" t="s">
        <v>1423</v>
      </c>
      <c r="K475" s="11" t="s">
        <v>1467</v>
      </c>
      <c r="M475" s="17">
        <f>IFERROR(
IF(
$A475="","",
(VLOOKUP($G475,'nuevos productoss'!$A:$E,4,0))
),$C475)</f>
        <v>19795.740000000002</v>
      </c>
      <c r="N475" s="17">
        <f>IFERROR(
IF(
$A475="","",
(VLOOKUP($G475,'nuevos productoss'!$A:$E,5,0))
),$C475)</f>
        <v>16776.096000000001</v>
      </c>
      <c r="O475" s="17">
        <f t="shared" si="23"/>
        <v>3019.6440000000002</v>
      </c>
    </row>
    <row r="476" spans="1:15" x14ac:dyDescent="0.3">
      <c r="A476" s="5" t="s">
        <v>869</v>
      </c>
      <c r="B476" s="20">
        <v>30</v>
      </c>
      <c r="C476" s="21">
        <v>4679.598</v>
      </c>
      <c r="D476" s="18">
        <f t="shared" si="21"/>
        <v>4679.598</v>
      </c>
      <c r="E476" s="21">
        <f t="shared" si="22"/>
        <v>4445.6180999999997</v>
      </c>
      <c r="F476" s="18">
        <v>1</v>
      </c>
      <c r="G476" s="23" t="s">
        <v>870</v>
      </c>
      <c r="H476" s="22" t="s">
        <v>1058</v>
      </c>
      <c r="I476" s="22" t="s">
        <v>1065</v>
      </c>
      <c r="J476" s="22" t="s">
        <v>1424</v>
      </c>
      <c r="K476" s="11" t="s">
        <v>1467</v>
      </c>
      <c r="M476" s="17">
        <f>IFERROR(
IF(
$A476="","",
(VLOOKUP($G476,'nuevos productoss'!$A:$E,4,0))
),$C476)</f>
        <v>4610.9399999999996</v>
      </c>
      <c r="N476" s="17">
        <f>IFERROR(
IF(
$A476="","",
(VLOOKUP($G476,'nuevos productoss'!$A:$E,5,0))
),$C476)</f>
        <v>3907.6439999999998</v>
      </c>
      <c r="O476" s="17">
        <f t="shared" si="23"/>
        <v>703.29599999999982</v>
      </c>
    </row>
    <row r="477" spans="1:15" x14ac:dyDescent="0.3">
      <c r="A477" s="5" t="s">
        <v>871</v>
      </c>
      <c r="B477" s="20">
        <v>30</v>
      </c>
      <c r="C477" s="21">
        <v>6026.8530000000001</v>
      </c>
      <c r="D477" s="18">
        <f t="shared" si="21"/>
        <v>6026.8530000000001</v>
      </c>
      <c r="E477" s="21">
        <f t="shared" si="22"/>
        <v>5725.5103499999996</v>
      </c>
      <c r="F477" s="18">
        <v>1</v>
      </c>
      <c r="G477" s="23" t="s">
        <v>872</v>
      </c>
      <c r="H477" s="22" t="s">
        <v>1058</v>
      </c>
      <c r="I477" s="22" t="s">
        <v>1065</v>
      </c>
      <c r="J477" s="22" t="s">
        <v>1423</v>
      </c>
      <c r="K477" s="11" t="s">
        <v>1467</v>
      </c>
      <c r="M477" s="17">
        <f>IFERROR(
IF(
$A477="","",
(VLOOKUP($G477,'nuevos productoss'!$A:$E,4,0))
),$C477)</f>
        <v>5916.152</v>
      </c>
      <c r="N477" s="17">
        <f>IFERROR(
IF(
$A477="","",
(VLOOKUP($G477,'nuevos productoss'!$A:$E,5,0))
),$C477)</f>
        <v>5013.7960000000003</v>
      </c>
      <c r="O477" s="17">
        <f t="shared" si="23"/>
        <v>902.35599999999977</v>
      </c>
    </row>
    <row r="478" spans="1:15" x14ac:dyDescent="0.3">
      <c r="A478" s="5" t="s">
        <v>873</v>
      </c>
      <c r="B478" s="20">
        <v>30</v>
      </c>
      <c r="C478" s="21">
        <v>16255.26</v>
      </c>
      <c r="D478" s="18">
        <f t="shared" si="21"/>
        <v>16255.26</v>
      </c>
      <c r="E478" s="21">
        <f t="shared" si="22"/>
        <v>15442.496999999999</v>
      </c>
      <c r="F478" s="18">
        <v>1</v>
      </c>
      <c r="G478" s="23" t="s">
        <v>874</v>
      </c>
      <c r="H478" s="22" t="s">
        <v>1058</v>
      </c>
      <c r="I478" s="22" t="s">
        <v>1065</v>
      </c>
      <c r="J478" s="22" t="s">
        <v>1423</v>
      </c>
      <c r="K478" s="11" t="s">
        <v>1467</v>
      </c>
      <c r="M478" s="17">
        <f>IFERROR(
IF(
$A478="","",
(VLOOKUP($G478,'nuevos productoss'!$A:$E,4,0))
),$C478)</f>
        <v>15961.208000000001</v>
      </c>
      <c r="N478" s="17">
        <f>IFERROR(
IF(
$A478="","",
(VLOOKUP($G478,'nuevos productoss'!$A:$E,5,0))
),$C478)</f>
        <v>13526.46</v>
      </c>
      <c r="O478" s="17">
        <f t="shared" si="23"/>
        <v>2434.7480000000014</v>
      </c>
    </row>
    <row r="479" spans="1:15" x14ac:dyDescent="0.3">
      <c r="A479" s="5" t="s">
        <v>875</v>
      </c>
      <c r="B479" s="20">
        <v>30</v>
      </c>
      <c r="C479" s="21">
        <v>25350.296999999999</v>
      </c>
      <c r="D479" s="18">
        <f t="shared" si="21"/>
        <v>25350.296999999999</v>
      </c>
      <c r="E479" s="21">
        <f t="shared" si="22"/>
        <v>24082.782149999999</v>
      </c>
      <c r="F479" s="18">
        <v>1</v>
      </c>
      <c r="G479" s="23" t="s">
        <v>876</v>
      </c>
      <c r="H479" s="22" t="s">
        <v>1058</v>
      </c>
      <c r="I479" s="22" t="s">
        <v>1065</v>
      </c>
      <c r="J479" s="22" t="s">
        <v>1423</v>
      </c>
      <c r="K479" s="11" t="s">
        <v>1467</v>
      </c>
      <c r="M479" s="17">
        <f>IFERROR(
IF(
$A479="","",
(VLOOKUP($G479,'nuevos productoss'!$A:$E,4,0))
),$C479)</f>
        <v>24891.675999999999</v>
      </c>
      <c r="N479" s="17">
        <f>IFERROR(
IF(
$A479="","",
(VLOOKUP($G479,'nuevos productoss'!$A:$E,5,0))
),$C479)</f>
        <v>21094.588</v>
      </c>
      <c r="O479" s="17">
        <f t="shared" si="23"/>
        <v>3797.0879999999997</v>
      </c>
    </row>
    <row r="480" spans="1:15" x14ac:dyDescent="0.3">
      <c r="A480" s="5" t="s">
        <v>877</v>
      </c>
      <c r="B480" s="20">
        <v>30</v>
      </c>
      <c r="C480" s="21">
        <v>11455.857</v>
      </c>
      <c r="D480" s="18">
        <f t="shared" si="21"/>
        <v>11455.857</v>
      </c>
      <c r="E480" s="21">
        <f t="shared" si="22"/>
        <v>10883.06415</v>
      </c>
      <c r="F480" s="18">
        <v>1</v>
      </c>
      <c r="G480" s="23" t="s">
        <v>878</v>
      </c>
      <c r="H480" s="22" t="s">
        <v>1058</v>
      </c>
      <c r="I480" s="22" t="s">
        <v>1065</v>
      </c>
      <c r="J480" s="22" t="s">
        <v>1423</v>
      </c>
      <c r="K480" s="11" t="s">
        <v>1467</v>
      </c>
      <c r="M480" s="17">
        <f>IFERROR(
IF(
$A480="","",
(VLOOKUP($G480,'nuevos productoss'!$A:$E,4,0))
),$C480)</f>
        <v>9721.232</v>
      </c>
      <c r="N480" s="17">
        <f>IFERROR(
IF(
$A480="","",
(VLOOKUP($G480,'nuevos productoss'!$A:$E,5,0))
),$C480)</f>
        <v>8238.2720000000008</v>
      </c>
      <c r="O480" s="17">
        <f t="shared" si="23"/>
        <v>1482.9599999999991</v>
      </c>
    </row>
    <row r="481" spans="1:15" x14ac:dyDescent="0.3">
      <c r="A481" s="5" t="s">
        <v>879</v>
      </c>
      <c r="B481" s="20">
        <v>30</v>
      </c>
      <c r="C481" s="21">
        <v>33495.273000000001</v>
      </c>
      <c r="D481" s="18">
        <f t="shared" si="21"/>
        <v>33495.273000000001</v>
      </c>
      <c r="E481" s="21">
        <f t="shared" si="22"/>
        <v>31820.50935</v>
      </c>
      <c r="F481" s="18">
        <v>1</v>
      </c>
      <c r="G481" s="23" t="s">
        <v>880</v>
      </c>
      <c r="H481" s="22" t="s">
        <v>1058</v>
      </c>
      <c r="I481" s="22" t="s">
        <v>1065</v>
      </c>
      <c r="J481" s="22" t="s">
        <v>1423</v>
      </c>
      <c r="K481" s="11" t="s">
        <v>1467</v>
      </c>
      <c r="M481" s="17">
        <f>IFERROR(
IF(
$A481="","",
(VLOOKUP($G481,'nuevos productoss'!$A:$E,4,0))
),$C481)</f>
        <v>33111.004000000001</v>
      </c>
      <c r="N481" s="17">
        <f>IFERROR(
IF(
$A481="","",
(VLOOKUP($G481,'nuevos productoss'!$A:$E,5,0))
),$C481)</f>
        <v>28060.06</v>
      </c>
      <c r="O481" s="17">
        <f t="shared" si="23"/>
        <v>5050.9439999999995</v>
      </c>
    </row>
    <row r="482" spans="1:15" x14ac:dyDescent="0.3">
      <c r="A482" s="5" t="s">
        <v>881</v>
      </c>
      <c r="B482" s="20">
        <v>30</v>
      </c>
      <c r="C482" s="21">
        <v>18461.73</v>
      </c>
      <c r="D482" s="18">
        <f t="shared" si="21"/>
        <v>18461.73</v>
      </c>
      <c r="E482" s="21">
        <f t="shared" si="22"/>
        <v>17538.643499999998</v>
      </c>
      <c r="F482" s="18">
        <v>1</v>
      </c>
      <c r="G482" s="23" t="s">
        <v>882</v>
      </c>
      <c r="H482" s="22" t="s">
        <v>1058</v>
      </c>
      <c r="I482" s="22" t="s">
        <v>1065</v>
      </c>
      <c r="J482" s="22" t="s">
        <v>1425</v>
      </c>
      <c r="K482" s="11" t="s">
        <v>1467</v>
      </c>
      <c r="M482" s="17">
        <f>IFERROR(
IF(
$A482="","",
(VLOOKUP($G482,'nuevos productoss'!$A:$E,4,0))
),$C482)</f>
        <v>18127.632000000001</v>
      </c>
      <c r="N482" s="17">
        <f>IFERROR(
IF(
$A482="","",
(VLOOKUP($G482,'nuevos productoss'!$A:$E,5,0))
),$C482)</f>
        <v>15362.4</v>
      </c>
      <c r="O482" s="17">
        <f t="shared" si="23"/>
        <v>2765.2320000000018</v>
      </c>
    </row>
    <row r="483" spans="1:15" ht="40.799999999999997" x14ac:dyDescent="0.3">
      <c r="A483" s="5" t="s">
        <v>883</v>
      </c>
      <c r="B483" s="20">
        <v>30</v>
      </c>
      <c r="C483" s="21">
        <v>33495.273000000001</v>
      </c>
      <c r="D483" s="18">
        <f t="shared" si="21"/>
        <v>33495.273000000001</v>
      </c>
      <c r="E483" s="21">
        <f t="shared" si="22"/>
        <v>31820.50935</v>
      </c>
      <c r="F483" s="18">
        <v>1</v>
      </c>
      <c r="G483" s="24" t="s">
        <v>884</v>
      </c>
      <c r="H483" s="22" t="s">
        <v>1058</v>
      </c>
      <c r="I483" s="22" t="s">
        <v>1065</v>
      </c>
      <c r="J483" s="22" t="s">
        <v>1423</v>
      </c>
      <c r="K483" s="11" t="s">
        <v>1467</v>
      </c>
      <c r="M483" s="17">
        <f>IFERROR(
IF(
$A483="","",
(VLOOKUP($G483,'nuevos productoss'!$A:$E,4,0))
),$C483)</f>
        <v>33111.004000000001</v>
      </c>
      <c r="N483" s="17">
        <f>IFERROR(
IF(
$A483="","",
(VLOOKUP($G483,'nuevos productoss'!$A:$E,5,0))
),$C483)</f>
        <v>28060.06</v>
      </c>
      <c r="O483" s="17">
        <f t="shared" si="23"/>
        <v>5050.9439999999995</v>
      </c>
    </row>
    <row r="484" spans="1:15" x14ac:dyDescent="0.3">
      <c r="A484" s="5" t="s">
        <v>885</v>
      </c>
      <c r="B484" s="20">
        <v>30</v>
      </c>
      <c r="C484" s="21">
        <v>35556.36</v>
      </c>
      <c r="D484" s="18">
        <f t="shared" si="21"/>
        <v>35556.36</v>
      </c>
      <c r="E484" s="21">
        <f t="shared" si="22"/>
        <v>33778.542000000001</v>
      </c>
      <c r="F484" s="18">
        <v>1</v>
      </c>
      <c r="G484" s="23" t="s">
        <v>886</v>
      </c>
      <c r="H484" s="22" t="s">
        <v>1058</v>
      </c>
      <c r="I484" s="22" t="s">
        <v>1065</v>
      </c>
      <c r="J484" s="22" t="s">
        <v>1423</v>
      </c>
      <c r="K484" s="11" t="s">
        <v>1467</v>
      </c>
      <c r="M484" s="17">
        <f>IFERROR(
IF(
$A484="","",
(VLOOKUP($G484,'nuevos productoss'!$A:$E,4,0))
),$C484)</f>
        <v>21635.527999999998</v>
      </c>
      <c r="N484" s="17">
        <f>IFERROR(
IF(
$A484="","",
(VLOOKUP($G484,'nuevos productoss'!$A:$E,5,0))
),$C484)</f>
        <v>18335.128000000001</v>
      </c>
      <c r="O484" s="17">
        <f t="shared" si="23"/>
        <v>3300.3999999999978</v>
      </c>
    </row>
    <row r="485" spans="1:15" x14ac:dyDescent="0.3">
      <c r="A485" s="5" t="s">
        <v>887</v>
      </c>
      <c r="B485" s="20">
        <v>30</v>
      </c>
      <c r="C485" s="21">
        <v>25502.441999999999</v>
      </c>
      <c r="D485" s="18">
        <f t="shared" si="21"/>
        <v>25502.441999999999</v>
      </c>
      <c r="E485" s="21">
        <f t="shared" si="22"/>
        <v>24227.319899999999</v>
      </c>
      <c r="F485" s="18">
        <v>1</v>
      </c>
      <c r="G485" s="23" t="s">
        <v>888</v>
      </c>
      <c r="H485" s="22" t="s">
        <v>1058</v>
      </c>
      <c r="I485" s="22" t="s">
        <v>1065</v>
      </c>
      <c r="J485" s="22" t="s">
        <v>1423</v>
      </c>
      <c r="K485" s="11" t="s">
        <v>1467</v>
      </c>
      <c r="M485" s="17">
        <f>IFERROR(
IF(
$A485="","",
(VLOOKUP($G485,'nuevos productoss'!$A:$E,4,0))
),$C485)</f>
        <v>25037.603999999999</v>
      </c>
      <c r="N485" s="17">
        <f>IFERROR(
IF(
$A485="","",
(VLOOKUP($G485,'nuevos productoss'!$A:$E,5,0))
),$C485)</f>
        <v>21218.315999999999</v>
      </c>
      <c r="O485" s="17">
        <f t="shared" si="23"/>
        <v>3819.2880000000005</v>
      </c>
    </row>
    <row r="486" spans="1:15" x14ac:dyDescent="0.3">
      <c r="A486" s="5" t="s">
        <v>889</v>
      </c>
      <c r="B486" s="20">
        <v>30</v>
      </c>
      <c r="C486" s="21">
        <v>20551.922999999999</v>
      </c>
      <c r="D486" s="18">
        <f t="shared" si="21"/>
        <v>20551.922999999999</v>
      </c>
      <c r="E486" s="21">
        <f t="shared" si="22"/>
        <v>19524.326849999998</v>
      </c>
      <c r="F486" s="18">
        <v>1</v>
      </c>
      <c r="G486" s="23" t="s">
        <v>890</v>
      </c>
      <c r="H486" s="22" t="s">
        <v>1058</v>
      </c>
      <c r="I486" s="22" t="s">
        <v>1065</v>
      </c>
      <c r="J486" s="22" t="s">
        <v>1423</v>
      </c>
      <c r="K486" s="11" t="s">
        <v>1467</v>
      </c>
      <c r="M486" s="17">
        <f>IFERROR(
IF(
$A486="","",
(VLOOKUP($G486,'nuevos productoss'!$A:$E,4,0))
),$C486)</f>
        <v>20180.096000000001</v>
      </c>
      <c r="N486" s="17">
        <f>IFERROR(
IF(
$A486="","",
(VLOOKUP($G486,'nuevos productoss'!$A:$E,5,0))
),$C486)</f>
        <v>17101.696</v>
      </c>
      <c r="O486" s="17">
        <f t="shared" si="23"/>
        <v>3078.4000000000015</v>
      </c>
    </row>
    <row r="487" spans="1:15" x14ac:dyDescent="0.3">
      <c r="A487" s="5" t="s">
        <v>891</v>
      </c>
      <c r="B487" s="20">
        <v>30</v>
      </c>
      <c r="C487" s="21">
        <v>19708.29</v>
      </c>
      <c r="D487" s="18">
        <f t="shared" si="21"/>
        <v>19708.29</v>
      </c>
      <c r="E487" s="21">
        <f t="shared" si="22"/>
        <v>18722.875499999998</v>
      </c>
      <c r="F487" s="18">
        <v>1</v>
      </c>
      <c r="G487" s="23" t="s">
        <v>892</v>
      </c>
      <c r="H487" s="22" t="s">
        <v>1058</v>
      </c>
      <c r="I487" s="22" t="s">
        <v>1065</v>
      </c>
      <c r="J487" s="22" t="s">
        <v>1423</v>
      </c>
      <c r="K487" s="11" t="s">
        <v>1467</v>
      </c>
      <c r="M487" s="17">
        <f>IFERROR(
IF(
$A487="","",
(VLOOKUP($G487,'nuevos productoss'!$A:$E,4,0))
),$C487)</f>
        <v>19351.740000000002</v>
      </c>
      <c r="N487" s="17">
        <f>IFERROR(
IF(
$A487="","",
(VLOOKUP($G487,'nuevos productoss'!$A:$E,5,0))
),$C487)</f>
        <v>16399.732</v>
      </c>
      <c r="O487" s="17">
        <f t="shared" si="23"/>
        <v>2952.0080000000016</v>
      </c>
    </row>
    <row r="488" spans="1:15" x14ac:dyDescent="0.3">
      <c r="A488" s="5" t="s">
        <v>893</v>
      </c>
      <c r="B488" s="20">
        <v>30</v>
      </c>
      <c r="C488" s="21">
        <v>30793.56</v>
      </c>
      <c r="D488" s="18">
        <f t="shared" si="21"/>
        <v>30793.56</v>
      </c>
      <c r="E488" s="21">
        <f t="shared" si="22"/>
        <v>29253.882000000001</v>
      </c>
      <c r="F488" s="18">
        <v>1</v>
      </c>
      <c r="G488" s="23" t="s">
        <v>894</v>
      </c>
      <c r="H488" s="22" t="s">
        <v>1058</v>
      </c>
      <c r="I488" s="22" t="s">
        <v>1065</v>
      </c>
      <c r="J488" s="22" t="s">
        <v>1423</v>
      </c>
      <c r="K488" s="11" t="s">
        <v>1467</v>
      </c>
      <c r="M488" s="17">
        <f>IFERROR(
IF(
$A488="","",
(VLOOKUP($G488,'nuevos productoss'!$A:$E,4,0))
),$C488)</f>
        <v>30236.400000000001</v>
      </c>
      <c r="N488" s="17">
        <f>IFERROR(
IF(
$A488="","",
(VLOOKUP($G488,'nuevos productoss'!$A:$E,5,0))
),$C488)</f>
        <v>25624.128000000001</v>
      </c>
      <c r="O488" s="17">
        <f t="shared" si="23"/>
        <v>4612.2720000000008</v>
      </c>
    </row>
    <row r="489" spans="1:15" x14ac:dyDescent="0.3">
      <c r="A489" s="5" t="s">
        <v>895</v>
      </c>
      <c r="B489" s="20">
        <v>30</v>
      </c>
      <c r="C489" s="21">
        <v>10836.84</v>
      </c>
      <c r="D489" s="18">
        <f t="shared" si="21"/>
        <v>10836.84</v>
      </c>
      <c r="E489" s="21">
        <f t="shared" si="22"/>
        <v>10294.998</v>
      </c>
      <c r="F489" s="18">
        <v>1</v>
      </c>
      <c r="G489" s="23" t="s">
        <v>896</v>
      </c>
      <c r="H489" s="22" t="s">
        <v>1058</v>
      </c>
      <c r="I489" s="22" t="s">
        <v>1065</v>
      </c>
      <c r="J489" s="22" t="s">
        <v>1423</v>
      </c>
      <c r="K489" s="11" t="s">
        <v>1467</v>
      </c>
      <c r="M489" s="17">
        <f>IFERROR(
IF(
$A489="","",
(VLOOKUP($G489,'nuevos productoss'!$A:$E,4,0))
),$C489)</f>
        <v>9722.4159999999993</v>
      </c>
      <c r="N489" s="17">
        <f>IFERROR(
IF(
$A489="","",
(VLOOKUP($G489,'nuevos productoss'!$A:$E,5,0))
),$C489)</f>
        <v>8239.4560000000001</v>
      </c>
      <c r="O489" s="17">
        <f t="shared" si="23"/>
        <v>1482.9599999999991</v>
      </c>
    </row>
    <row r="490" spans="1:15" x14ac:dyDescent="0.3">
      <c r="A490" s="5" t="s">
        <v>897</v>
      </c>
      <c r="B490" s="20">
        <v>30</v>
      </c>
      <c r="C490" s="21">
        <v>15724.148999999999</v>
      </c>
      <c r="D490" s="18">
        <f t="shared" si="21"/>
        <v>15724.148999999999</v>
      </c>
      <c r="E490" s="21">
        <f t="shared" si="22"/>
        <v>14937.94155</v>
      </c>
      <c r="F490" s="18">
        <v>1</v>
      </c>
      <c r="G490" s="23" t="s">
        <v>898</v>
      </c>
      <c r="H490" s="22" t="s">
        <v>1058</v>
      </c>
      <c r="I490" s="22" t="s">
        <v>1065</v>
      </c>
      <c r="J490" s="22" t="s">
        <v>1423</v>
      </c>
      <c r="K490" s="11" t="s">
        <v>1467</v>
      </c>
      <c r="M490" s="17">
        <f>IFERROR(
IF(
$A490="","",
(VLOOKUP($G490,'nuevos productoss'!$A:$E,4,0))
),$C490)</f>
        <v>15439.656000000001</v>
      </c>
      <c r="N490" s="17">
        <f>IFERROR(
IF(
$A490="","",
(VLOOKUP($G490,'nuevos productoss'!$A:$E,5,0))
),$C490)</f>
        <v>13084.384</v>
      </c>
      <c r="O490" s="17">
        <f t="shared" si="23"/>
        <v>2355.2720000000008</v>
      </c>
    </row>
    <row r="491" spans="1:15" x14ac:dyDescent="0.3">
      <c r="A491" s="5" t="s">
        <v>899</v>
      </c>
      <c r="B491" s="20">
        <v>30</v>
      </c>
      <c r="C491" s="21">
        <v>19435.752</v>
      </c>
      <c r="D491" s="18">
        <f t="shared" si="21"/>
        <v>19435.752</v>
      </c>
      <c r="E491" s="21">
        <f t="shared" si="22"/>
        <v>18463.964400000001</v>
      </c>
      <c r="F491" s="18">
        <v>1</v>
      </c>
      <c r="G491" s="23" t="s">
        <v>900</v>
      </c>
      <c r="H491" s="22" t="s">
        <v>1058</v>
      </c>
      <c r="I491" s="22" t="s">
        <v>1065</v>
      </c>
      <c r="J491" s="22" t="s">
        <v>1423</v>
      </c>
      <c r="K491" s="11" t="s">
        <v>1467</v>
      </c>
      <c r="M491" s="17">
        <f>IFERROR(
IF(
$A491="","",
(VLOOKUP($G491,'nuevos productoss'!$A:$E,4,0))
),$C491)</f>
        <v>19084.008000000002</v>
      </c>
      <c r="N491" s="17">
        <f>IFERROR(
IF(
$A491="","",
(VLOOKUP($G491,'nuevos productoss'!$A:$E,5,0))
),$C491)</f>
        <v>16172.995999999999</v>
      </c>
      <c r="O491" s="17">
        <f t="shared" si="23"/>
        <v>2911.0120000000024</v>
      </c>
    </row>
    <row r="492" spans="1:15" x14ac:dyDescent="0.3">
      <c r="A492" s="5" t="s">
        <v>901</v>
      </c>
      <c r="B492" s="20">
        <v>30</v>
      </c>
      <c r="C492" s="21">
        <v>24383.037</v>
      </c>
      <c r="D492" s="18">
        <f t="shared" si="21"/>
        <v>24383.037</v>
      </c>
      <c r="E492" s="21">
        <f t="shared" si="22"/>
        <v>23163.885149999998</v>
      </c>
      <c r="F492" s="18">
        <v>1</v>
      </c>
      <c r="G492" s="23" t="s">
        <v>902</v>
      </c>
      <c r="H492" s="22" t="s">
        <v>1058</v>
      </c>
      <c r="I492" s="22" t="s">
        <v>1065</v>
      </c>
      <c r="J492" s="22" t="s">
        <v>1423</v>
      </c>
      <c r="K492" s="11" t="s">
        <v>1467</v>
      </c>
      <c r="M492" s="17">
        <f>IFERROR(
IF(
$A492="","",
(VLOOKUP($G492,'nuevos productoss'!$A:$E,4,0))
),$C492)</f>
        <v>23941.812000000002</v>
      </c>
      <c r="N492" s="17">
        <f>IFERROR(
IF(
$A492="","",
(VLOOKUP($G492,'nuevos productoss'!$A:$E,5,0))
),$C492)</f>
        <v>20289.616000000002</v>
      </c>
      <c r="O492" s="17">
        <f t="shared" si="23"/>
        <v>3652.1959999999999</v>
      </c>
    </row>
    <row r="493" spans="1:15" x14ac:dyDescent="0.3">
      <c r="A493" s="5" t="s">
        <v>903</v>
      </c>
      <c r="B493" s="20">
        <v>30</v>
      </c>
      <c r="C493" s="21">
        <v>19299.483</v>
      </c>
      <c r="D493" s="18">
        <f t="shared" si="21"/>
        <v>19299.483</v>
      </c>
      <c r="E493" s="21">
        <f t="shared" si="22"/>
        <v>18334.508849999998</v>
      </c>
      <c r="F493" s="18">
        <v>1</v>
      </c>
      <c r="G493" s="23" t="s">
        <v>904</v>
      </c>
      <c r="H493" s="22" t="s">
        <v>1058</v>
      </c>
      <c r="I493" s="22" t="s">
        <v>1065</v>
      </c>
      <c r="J493" s="22" t="s">
        <v>1423</v>
      </c>
      <c r="K493" s="11" t="s">
        <v>1467</v>
      </c>
      <c r="M493" s="17">
        <f>IFERROR(
IF(
$A493="","",
(VLOOKUP($G493,'nuevos productoss'!$A:$E,4,0))
),$C493)</f>
        <v>18950.216</v>
      </c>
      <c r="N493" s="17">
        <f>IFERROR(
IF(
$A493="","",
(VLOOKUP($G493,'nuevos productoss'!$A:$E,5,0))
),$C493)</f>
        <v>16059.628000000001</v>
      </c>
      <c r="O493" s="17">
        <f t="shared" si="23"/>
        <v>2890.5879999999997</v>
      </c>
    </row>
    <row r="494" spans="1:15" x14ac:dyDescent="0.3">
      <c r="A494" s="5" t="s">
        <v>905</v>
      </c>
      <c r="B494" s="20">
        <v>30</v>
      </c>
      <c r="C494" s="21">
        <v>13275.129000000001</v>
      </c>
      <c r="D494" s="18">
        <f t="shared" si="21"/>
        <v>13275.129000000001</v>
      </c>
      <c r="E494" s="21">
        <f t="shared" si="22"/>
        <v>12611.37255</v>
      </c>
      <c r="F494" s="18">
        <v>1</v>
      </c>
      <c r="G494" s="23" t="s">
        <v>906</v>
      </c>
      <c r="H494" s="22" t="s">
        <v>1058</v>
      </c>
      <c r="I494" s="22" t="s">
        <v>1065</v>
      </c>
      <c r="J494" s="22" t="s">
        <v>1423</v>
      </c>
      <c r="K494" s="11" t="s">
        <v>1467</v>
      </c>
      <c r="M494" s="17">
        <f>IFERROR(
IF(
$A494="","",
(VLOOKUP($G494,'nuevos productoss'!$A:$E,4,0))
),$C494)</f>
        <v>13034.951999999999</v>
      </c>
      <c r="N494" s="17">
        <f>IFERROR(
IF(
$A494="","",
(VLOOKUP($G494,'nuevos productoss'!$A:$E,5,0))
),$C494)</f>
        <v>11046.572</v>
      </c>
      <c r="O494" s="17">
        <f t="shared" si="23"/>
        <v>1988.3799999999992</v>
      </c>
    </row>
    <row r="495" spans="1:15" x14ac:dyDescent="0.3">
      <c r="A495" s="5" t="s">
        <v>907</v>
      </c>
      <c r="B495" s="20">
        <v>30</v>
      </c>
      <c r="C495" s="21">
        <v>109721.38800000001</v>
      </c>
      <c r="D495" s="18">
        <f t="shared" si="21"/>
        <v>109721.38800000001</v>
      </c>
      <c r="E495" s="21">
        <f t="shared" si="22"/>
        <v>104235.3186</v>
      </c>
      <c r="F495" s="18">
        <v>1</v>
      </c>
      <c r="G495" s="23" t="s">
        <v>908</v>
      </c>
      <c r="H495" s="22" t="s">
        <v>1058</v>
      </c>
      <c r="I495" s="22" t="s">
        <v>1065</v>
      </c>
      <c r="J495" s="22" t="s">
        <v>1426</v>
      </c>
      <c r="K495" s="11" t="s">
        <v>1467</v>
      </c>
      <c r="M495" s="17">
        <f>IFERROR(
IF(
$A495="","",
(VLOOKUP($G495,'nuevos productoss'!$A:$E,4,0))
),$C495)</f>
        <v>108469.2</v>
      </c>
      <c r="N495" s="17">
        <f>IFERROR(
IF(
$A495="","",
(VLOOKUP($G495,'nuevos productoss'!$A:$E,5,0))
),$C495)</f>
        <v>91923.096000000005</v>
      </c>
      <c r="O495" s="17">
        <f t="shared" si="23"/>
        <v>16546.103999999992</v>
      </c>
    </row>
    <row r="496" spans="1:15" x14ac:dyDescent="0.3">
      <c r="A496" s="5" t="s">
        <v>909</v>
      </c>
      <c r="B496" s="20">
        <v>30</v>
      </c>
      <c r="C496" s="21">
        <v>12706.239</v>
      </c>
      <c r="D496" s="18">
        <f t="shared" si="21"/>
        <v>12706.239</v>
      </c>
      <c r="E496" s="21">
        <f t="shared" si="22"/>
        <v>12070.927049999998</v>
      </c>
      <c r="F496" s="18">
        <v>1</v>
      </c>
      <c r="G496" s="23" t="s">
        <v>910</v>
      </c>
      <c r="H496" s="22" t="s">
        <v>1058</v>
      </c>
      <c r="I496" s="22" t="s">
        <v>1065</v>
      </c>
      <c r="J496" s="22" t="s">
        <v>1423</v>
      </c>
      <c r="K496" s="11" t="s">
        <v>1467</v>
      </c>
      <c r="M496" s="17">
        <f>IFERROR(
IF(
$A496="","",
(VLOOKUP($G496,'nuevos productoss'!$A:$E,4,0))
),$C496)</f>
        <v>11438.92</v>
      </c>
      <c r="N496" s="17">
        <f>IFERROR(
IF(
$A496="","",
(VLOOKUP($G496,'nuevos productoss'!$A:$E,5,0))
),$C496)</f>
        <v>9694</v>
      </c>
      <c r="O496" s="17">
        <f t="shared" si="23"/>
        <v>1744.92</v>
      </c>
    </row>
    <row r="497" spans="1:15" x14ac:dyDescent="0.3">
      <c r="A497" s="5" t="s">
        <v>911</v>
      </c>
      <c r="B497" s="20">
        <v>30</v>
      </c>
      <c r="C497" s="21">
        <v>11870.397000000001</v>
      </c>
      <c r="D497" s="18">
        <f t="shared" si="21"/>
        <v>11870.397000000001</v>
      </c>
      <c r="E497" s="21">
        <f t="shared" si="22"/>
        <v>11276.87715</v>
      </c>
      <c r="F497" s="18">
        <v>1</v>
      </c>
      <c r="G497" s="23" t="s">
        <v>912</v>
      </c>
      <c r="H497" s="22" t="s">
        <v>1058</v>
      </c>
      <c r="I497" s="22" t="s">
        <v>1065</v>
      </c>
      <c r="J497" s="22" t="s">
        <v>1423</v>
      </c>
      <c r="K497" s="11" t="s">
        <v>1467</v>
      </c>
      <c r="M497" s="17">
        <f>IFERROR(
IF(
$A497="","",
(VLOOKUP($G497,'nuevos productoss'!$A:$E,4,0))
),$C497)</f>
        <v>11652.335999999999</v>
      </c>
      <c r="N497" s="17">
        <f>IFERROR(
IF(
$A497="","",
(VLOOKUP($G497,'nuevos productoss'!$A:$E,5,0))
),$C497)</f>
        <v>9874.8559999999998</v>
      </c>
      <c r="O497" s="17">
        <f t="shared" si="23"/>
        <v>1777.4799999999996</v>
      </c>
    </row>
    <row r="498" spans="1:15" x14ac:dyDescent="0.3">
      <c r="A498" s="5" t="s">
        <v>913</v>
      </c>
      <c r="B498" s="20">
        <v>30</v>
      </c>
      <c r="C498" s="21">
        <v>20030.513999999999</v>
      </c>
      <c r="D498" s="18">
        <f t="shared" si="21"/>
        <v>20030.513999999999</v>
      </c>
      <c r="E498" s="21">
        <f t="shared" si="22"/>
        <v>19028.988299999997</v>
      </c>
      <c r="F498" s="18">
        <v>1</v>
      </c>
      <c r="G498" s="23" t="s">
        <v>914</v>
      </c>
      <c r="H498" s="22" t="s">
        <v>1058</v>
      </c>
      <c r="I498" s="22" t="s">
        <v>1065</v>
      </c>
      <c r="J498" s="22" t="s">
        <v>1424</v>
      </c>
      <c r="K498" s="11" t="s">
        <v>1467</v>
      </c>
      <c r="M498" s="17">
        <f>IFERROR(
IF(
$A498="","",
(VLOOKUP($G498,'nuevos productoss'!$A:$E,4,0))
),$C498)</f>
        <v>19668.164000000001</v>
      </c>
      <c r="N498" s="17">
        <f>IFERROR(
IF(
$A498="","",
(VLOOKUP($G498,'nuevos productoss'!$A:$E,5,0))
),$C498)</f>
        <v>16667.907999999999</v>
      </c>
      <c r="O498" s="17">
        <f t="shared" si="23"/>
        <v>3000.2560000000012</v>
      </c>
    </row>
    <row r="499" spans="1:15" x14ac:dyDescent="0.3">
      <c r="A499" s="5" t="s">
        <v>915</v>
      </c>
      <c r="B499" s="20">
        <v>30</v>
      </c>
      <c r="C499" s="21">
        <v>10538.43</v>
      </c>
      <c r="D499" s="18">
        <f t="shared" si="21"/>
        <v>10538.43</v>
      </c>
      <c r="E499" s="21">
        <f t="shared" si="22"/>
        <v>10011.5085</v>
      </c>
      <c r="F499" s="18">
        <v>1</v>
      </c>
      <c r="G499" s="23" t="s">
        <v>916</v>
      </c>
      <c r="H499" s="22" t="s">
        <v>1058</v>
      </c>
      <c r="I499" s="22" t="s">
        <v>1065</v>
      </c>
      <c r="J499" s="22" t="s">
        <v>1423</v>
      </c>
      <c r="K499" s="11" t="s">
        <v>1467</v>
      </c>
      <c r="M499" s="17">
        <f>IFERROR(
IF(
$A499="","",
(VLOOKUP($G499,'nuevos productoss'!$A:$E,4,0))
),$C499)</f>
        <v>10347.716</v>
      </c>
      <c r="N499" s="17">
        <f>IFERROR(
IF(
$A499="","",
(VLOOKUP($G499,'nuevos productoss'!$A:$E,5,0))
),$C499)</f>
        <v>8769.2960000000003</v>
      </c>
      <c r="O499" s="17">
        <f t="shared" si="23"/>
        <v>1578.42</v>
      </c>
    </row>
    <row r="500" spans="1:15" x14ac:dyDescent="0.3">
      <c r="A500" s="5" t="s">
        <v>917</v>
      </c>
      <c r="B500" s="20">
        <v>30</v>
      </c>
      <c r="C500" s="21">
        <v>8360.3310000000001</v>
      </c>
      <c r="D500" s="18">
        <f t="shared" si="21"/>
        <v>8360.3310000000001</v>
      </c>
      <c r="E500" s="21">
        <f t="shared" si="22"/>
        <v>7942.3144499999999</v>
      </c>
      <c r="F500" s="18">
        <v>1</v>
      </c>
      <c r="G500" s="23" t="s">
        <v>918</v>
      </c>
      <c r="H500" s="22" t="s">
        <v>1058</v>
      </c>
      <c r="I500" s="22" t="s">
        <v>1065</v>
      </c>
      <c r="J500" s="22" t="s">
        <v>1423</v>
      </c>
      <c r="K500" s="11" t="s">
        <v>1467</v>
      </c>
      <c r="M500" s="17">
        <f>IFERROR(
IF(
$A500="","",
(VLOOKUP($G500,'nuevos productoss'!$A:$E,4,0))
),$C500)</f>
        <v>8261.36</v>
      </c>
      <c r="N500" s="17">
        <f>IFERROR(
IF(
$A500="","",
(VLOOKUP($G500,'nuevos productoss'!$A:$E,5,0))
),$C500)</f>
        <v>7001.14</v>
      </c>
      <c r="O500" s="17">
        <f t="shared" si="23"/>
        <v>1260.2200000000003</v>
      </c>
    </row>
    <row r="501" spans="1:15" x14ac:dyDescent="0.3">
      <c r="A501" s="5" t="s">
        <v>919</v>
      </c>
      <c r="B501" s="20">
        <v>30</v>
      </c>
      <c r="C501" s="21">
        <v>8207.3040000000001</v>
      </c>
      <c r="D501" s="18">
        <f t="shared" si="21"/>
        <v>8207.3040000000001</v>
      </c>
      <c r="E501" s="21">
        <f t="shared" si="22"/>
        <v>7796.9387999999999</v>
      </c>
      <c r="F501" s="18">
        <v>1</v>
      </c>
      <c r="G501" s="23" t="s">
        <v>920</v>
      </c>
      <c r="H501" s="22" t="s">
        <v>1058</v>
      </c>
      <c r="I501" s="22" t="s">
        <v>1065</v>
      </c>
      <c r="J501" s="22" t="s">
        <v>1426</v>
      </c>
      <c r="K501" s="11" t="s">
        <v>1467</v>
      </c>
      <c r="M501" s="17">
        <f>IFERROR(
IF(
$A501="","",
(VLOOKUP($G501,'nuevos productoss'!$A:$E,4,0))
),$C501)</f>
        <v>8820.7999999999993</v>
      </c>
      <c r="N501" s="17">
        <f>IFERROR(
IF(
$A501="","",
(VLOOKUP($G501,'nuevos productoss'!$A:$E,5,0))
),$C501)</f>
        <v>7475.1840000000002</v>
      </c>
      <c r="O501" s="17">
        <f t="shared" si="23"/>
        <v>1345.6159999999991</v>
      </c>
    </row>
    <row r="502" spans="1:15" x14ac:dyDescent="0.3">
      <c r="A502" s="5" t="s">
        <v>921</v>
      </c>
      <c r="B502" s="20">
        <v>30</v>
      </c>
      <c r="C502" s="21">
        <v>9075.9269999999997</v>
      </c>
      <c r="D502" s="18">
        <f t="shared" si="21"/>
        <v>9075.9269999999997</v>
      </c>
      <c r="E502" s="21">
        <f t="shared" si="22"/>
        <v>8622.1306499999992</v>
      </c>
      <c r="F502" s="18">
        <v>1</v>
      </c>
      <c r="G502" s="23" t="s">
        <v>922</v>
      </c>
      <c r="H502" s="22" t="s">
        <v>1058</v>
      </c>
      <c r="I502" s="22" t="s">
        <v>1065</v>
      </c>
      <c r="J502" s="22" t="s">
        <v>1423</v>
      </c>
      <c r="K502" s="11" t="s">
        <v>1467</v>
      </c>
      <c r="M502" s="17">
        <f>IFERROR(
IF(
$A502="","",
(VLOOKUP($G502,'nuevos productoss'!$A:$E,4,0))
),$C502)</f>
        <v>8911.6720000000005</v>
      </c>
      <c r="N502" s="17">
        <f>IFERROR(
IF(
$A502="","",
(VLOOKUP($G502,'nuevos productoss'!$A:$E,5,0))
),$C502)</f>
        <v>7552.2920000000004</v>
      </c>
      <c r="O502" s="17">
        <f t="shared" si="23"/>
        <v>1359.38</v>
      </c>
    </row>
    <row r="503" spans="1:15" x14ac:dyDescent="0.3">
      <c r="A503" s="5" t="s">
        <v>923</v>
      </c>
      <c r="B503" s="20">
        <v>30</v>
      </c>
      <c r="C503" s="21">
        <v>17609.865000000002</v>
      </c>
      <c r="D503" s="18">
        <f t="shared" si="21"/>
        <v>17609.865000000002</v>
      </c>
      <c r="E503" s="21">
        <f t="shared" si="22"/>
        <v>16729.371750000002</v>
      </c>
      <c r="F503" s="18">
        <v>1</v>
      </c>
      <c r="G503" s="23" t="s">
        <v>924</v>
      </c>
      <c r="H503" s="22" t="s">
        <v>1058</v>
      </c>
      <c r="I503" s="22" t="s">
        <v>1065</v>
      </c>
      <c r="J503" s="22" t="s">
        <v>1423</v>
      </c>
      <c r="K503" s="11" t="s">
        <v>1467</v>
      </c>
      <c r="M503" s="17">
        <f>IFERROR(
IF(
$A503="","",
(VLOOKUP($G503,'nuevos productoss'!$A:$E,4,0))
),$C503)</f>
        <v>13301.056</v>
      </c>
      <c r="N503" s="17">
        <f>IFERROR(
IF(
$A503="","",
(VLOOKUP($G503,'nuevos productoss'!$A:$E,5,0))
),$C503)</f>
        <v>11271.976000000001</v>
      </c>
      <c r="O503" s="17">
        <f t="shared" si="23"/>
        <v>2029.08</v>
      </c>
    </row>
    <row r="504" spans="1:15" x14ac:dyDescent="0.3">
      <c r="A504" s="5" t="s">
        <v>925</v>
      </c>
      <c r="B504" s="20">
        <v>30</v>
      </c>
      <c r="C504" s="21">
        <v>9262.6170000000002</v>
      </c>
      <c r="D504" s="18">
        <f t="shared" si="21"/>
        <v>9262.6170000000002</v>
      </c>
      <c r="E504" s="21">
        <f t="shared" si="22"/>
        <v>8799.4861500000006</v>
      </c>
      <c r="F504" s="18">
        <v>1</v>
      </c>
      <c r="G504" s="23" t="s">
        <v>926</v>
      </c>
      <c r="H504" s="22" t="s">
        <v>1058</v>
      </c>
      <c r="I504" s="22" t="s">
        <v>1065</v>
      </c>
      <c r="J504" s="22" t="s">
        <v>1427</v>
      </c>
      <c r="K504" s="11" t="s">
        <v>1467</v>
      </c>
      <c r="M504" s="17">
        <f>IFERROR(
IF(
$A504="","",
(VLOOKUP($G504,'nuevos productoss'!$A:$E,4,0))
),$C504)</f>
        <v>9325.6280000000006</v>
      </c>
      <c r="N504" s="17">
        <f>IFERROR(
IF(
$A504="","",
(VLOOKUP($G504,'nuevos productoss'!$A:$E,5,0))
),$C504)</f>
        <v>6459.7560000000003</v>
      </c>
      <c r="O504" s="17">
        <f t="shared" si="23"/>
        <v>2865.8720000000003</v>
      </c>
    </row>
    <row r="505" spans="1:15" x14ac:dyDescent="0.3">
      <c r="A505" s="5" t="s">
        <v>927</v>
      </c>
      <c r="B505" s="20">
        <v>30</v>
      </c>
      <c r="C505" s="21">
        <v>10291.175999999999</v>
      </c>
      <c r="D505" s="18">
        <f t="shared" si="21"/>
        <v>10291.175999999999</v>
      </c>
      <c r="E505" s="21">
        <f t="shared" si="22"/>
        <v>9776.6171999999988</v>
      </c>
      <c r="F505" s="18">
        <v>1</v>
      </c>
      <c r="G505" s="23" t="s">
        <v>928</v>
      </c>
      <c r="H505" s="22" t="s">
        <v>1058</v>
      </c>
      <c r="I505" s="22" t="s">
        <v>1065</v>
      </c>
      <c r="J505" s="22" t="s">
        <v>1423</v>
      </c>
      <c r="K505" s="11" t="s">
        <v>1467</v>
      </c>
      <c r="M505" s="17">
        <f>IFERROR(
IF(
$A505="","",
(VLOOKUP($G505,'nuevos productoss'!$A:$E,4,0))
),$C505)</f>
        <v>10101.444</v>
      </c>
      <c r="N505" s="17">
        <f>IFERROR(
IF(
$A505="","",
(VLOOKUP($G505,'nuevos productoss'!$A:$E,5,0))
),$C505)</f>
        <v>8560.4680000000008</v>
      </c>
      <c r="O505" s="17">
        <f t="shared" si="23"/>
        <v>1540.9759999999987</v>
      </c>
    </row>
    <row r="506" spans="1:15" x14ac:dyDescent="0.3">
      <c r="A506" s="5" t="s">
        <v>929</v>
      </c>
      <c r="B506" s="20">
        <v>30</v>
      </c>
      <c r="C506" s="21">
        <v>9482.2350000000006</v>
      </c>
      <c r="D506" s="18">
        <f t="shared" si="21"/>
        <v>9482.2350000000006</v>
      </c>
      <c r="E506" s="21">
        <f t="shared" si="22"/>
        <v>9008.1232500000006</v>
      </c>
      <c r="F506" s="18">
        <v>1</v>
      </c>
      <c r="G506" s="23" t="s">
        <v>930</v>
      </c>
      <c r="H506" s="22" t="s">
        <v>1058</v>
      </c>
      <c r="I506" s="22" t="s">
        <v>1065</v>
      </c>
      <c r="J506" s="22" t="s">
        <v>1423</v>
      </c>
      <c r="K506" s="11" t="s">
        <v>1467</v>
      </c>
      <c r="M506" s="17">
        <f>IFERROR(
IF(
$A506="","",
(VLOOKUP($G506,'nuevos productoss'!$A:$E,4,0))
),$C506)</f>
        <v>9310.68</v>
      </c>
      <c r="N506" s="17">
        <f>IFERROR(
IF(
$A506="","",
(VLOOKUP($G506,'nuevos productoss'!$A:$E,5,0))
),$C506)</f>
        <v>7890.4719999999998</v>
      </c>
      <c r="O506" s="17">
        <f t="shared" si="23"/>
        <v>1420.2080000000005</v>
      </c>
    </row>
    <row r="507" spans="1:15" x14ac:dyDescent="0.3">
      <c r="A507" s="5" t="s">
        <v>931</v>
      </c>
      <c r="B507" s="20">
        <v>30</v>
      </c>
      <c r="C507" s="21">
        <v>18941.978999999999</v>
      </c>
      <c r="D507" s="18">
        <f t="shared" si="21"/>
        <v>18941.978999999999</v>
      </c>
      <c r="E507" s="21">
        <f t="shared" si="22"/>
        <v>17994.88005</v>
      </c>
      <c r="F507" s="18">
        <v>1</v>
      </c>
      <c r="G507" s="23" t="s">
        <v>932</v>
      </c>
      <c r="H507" s="22" t="s">
        <v>1058</v>
      </c>
      <c r="I507" s="22" t="s">
        <v>1065</v>
      </c>
      <c r="J507" s="22" t="s">
        <v>1423</v>
      </c>
      <c r="K507" s="11" t="s">
        <v>1467</v>
      </c>
      <c r="M507" s="17">
        <f>IFERROR(
IF(
$A507="","",
(VLOOKUP($G507,'nuevos productoss'!$A:$E,4,0))
),$C507)</f>
        <v>18725.848000000002</v>
      </c>
      <c r="N507" s="17">
        <f>IFERROR(
IF(
$A507="","",
(VLOOKUP($G507,'nuevos productoss'!$A:$E,5,0))
),$C507)</f>
        <v>15869.3</v>
      </c>
      <c r="O507" s="17">
        <f t="shared" si="23"/>
        <v>2856.5480000000025</v>
      </c>
    </row>
    <row r="508" spans="1:15" x14ac:dyDescent="0.3">
      <c r="A508" s="5" t="s">
        <v>933</v>
      </c>
      <c r="B508" s="20">
        <v>30</v>
      </c>
      <c r="C508" s="21">
        <v>9482.2350000000006</v>
      </c>
      <c r="D508" s="18">
        <f t="shared" si="21"/>
        <v>9482.2350000000006</v>
      </c>
      <c r="E508" s="21">
        <f t="shared" si="22"/>
        <v>9008.1232500000006</v>
      </c>
      <c r="F508" s="18">
        <v>1</v>
      </c>
      <c r="G508" s="23" t="s">
        <v>934</v>
      </c>
      <c r="H508" s="22" t="s">
        <v>1058</v>
      </c>
      <c r="I508" s="22" t="s">
        <v>1065</v>
      </c>
      <c r="J508" s="22" t="s">
        <v>1426</v>
      </c>
      <c r="K508" s="11" t="s">
        <v>1467</v>
      </c>
      <c r="M508" s="17">
        <f>IFERROR(
IF(
$A508="","",
(VLOOKUP($G508,'nuevos productoss'!$A:$E,4,0))
),$C508)</f>
        <v>9310.68</v>
      </c>
      <c r="N508" s="17">
        <f>IFERROR(
IF(
$A508="","",
(VLOOKUP($G508,'nuevos productoss'!$A:$E,5,0))
),$C508)</f>
        <v>7890.4719999999998</v>
      </c>
      <c r="O508" s="17">
        <f t="shared" si="23"/>
        <v>1420.2080000000005</v>
      </c>
    </row>
    <row r="509" spans="1:15" x14ac:dyDescent="0.3">
      <c r="A509" s="5" t="s">
        <v>935</v>
      </c>
      <c r="B509" s="20">
        <v>30</v>
      </c>
      <c r="C509" s="21">
        <v>10387.02</v>
      </c>
      <c r="D509" s="18">
        <f t="shared" si="21"/>
        <v>10387.02</v>
      </c>
      <c r="E509" s="21">
        <f t="shared" si="22"/>
        <v>9867.6689999999999</v>
      </c>
      <c r="F509" s="18">
        <v>1</v>
      </c>
      <c r="G509" s="23" t="s">
        <v>936</v>
      </c>
      <c r="H509" s="22" t="s">
        <v>1058</v>
      </c>
      <c r="I509" s="22" t="s">
        <v>1065</v>
      </c>
      <c r="J509" s="22" t="s">
        <v>1423</v>
      </c>
      <c r="K509" s="11" t="s">
        <v>1467</v>
      </c>
      <c r="M509" s="17">
        <f>IFERROR(
IF(
$A509="","",
(VLOOKUP($G509,'nuevos productoss'!$A:$E,4,0))
),$C509)</f>
        <v>10199.124</v>
      </c>
      <c r="N509" s="17">
        <f>IFERROR(
IF(
$A509="","",
(VLOOKUP($G509,'nuevos productoss'!$A:$E,5,0))
),$C509)</f>
        <v>8643.348</v>
      </c>
      <c r="O509" s="17">
        <f t="shared" si="23"/>
        <v>1555.7759999999998</v>
      </c>
    </row>
    <row r="510" spans="1:15" x14ac:dyDescent="0.3">
      <c r="A510" s="5" t="s">
        <v>937</v>
      </c>
      <c r="B510" s="20">
        <v>30</v>
      </c>
      <c r="C510" s="21">
        <v>9482.2350000000006</v>
      </c>
      <c r="D510" s="18">
        <f t="shared" si="21"/>
        <v>9482.2350000000006</v>
      </c>
      <c r="E510" s="21">
        <f t="shared" si="22"/>
        <v>9008.1232500000006</v>
      </c>
      <c r="F510" s="18">
        <v>1</v>
      </c>
      <c r="G510" s="23" t="s">
        <v>938</v>
      </c>
      <c r="H510" s="22" t="s">
        <v>1058</v>
      </c>
      <c r="I510" s="22" t="s">
        <v>1065</v>
      </c>
      <c r="J510" s="22" t="s">
        <v>1426</v>
      </c>
      <c r="K510" s="11" t="s">
        <v>1467</v>
      </c>
      <c r="M510" s="17">
        <f>IFERROR(
IF(
$A510="","",
(VLOOKUP($G510,'nuevos productoss'!$A:$E,4,0))
),$C510)</f>
        <v>9310.68</v>
      </c>
      <c r="N510" s="17">
        <f>IFERROR(
IF(
$A510="","",
(VLOOKUP($G510,'nuevos productoss'!$A:$E,5,0))
),$C510)</f>
        <v>7890.4719999999998</v>
      </c>
      <c r="O510" s="17">
        <f t="shared" si="23"/>
        <v>1420.2080000000005</v>
      </c>
    </row>
    <row r="511" spans="1:15" x14ac:dyDescent="0.3">
      <c r="A511" s="5" t="s">
        <v>939</v>
      </c>
      <c r="B511" s="20">
        <v>30</v>
      </c>
      <c r="C511" s="21">
        <v>50716.616999999998</v>
      </c>
      <c r="D511" s="18">
        <f t="shared" si="21"/>
        <v>50716.616999999998</v>
      </c>
      <c r="E511" s="21">
        <f t="shared" si="22"/>
        <v>48180.786149999993</v>
      </c>
      <c r="F511" s="18">
        <v>1</v>
      </c>
      <c r="G511" s="23" t="s">
        <v>940</v>
      </c>
      <c r="H511" s="22" t="s">
        <v>1058</v>
      </c>
      <c r="I511" s="22" t="s">
        <v>1065</v>
      </c>
      <c r="J511" s="22" t="s">
        <v>1423</v>
      </c>
      <c r="K511" s="11" t="s">
        <v>1467</v>
      </c>
      <c r="M511" s="17">
        <f>IFERROR(
IF(
$A511="","",
(VLOOKUP($G511,'nuevos productoss'!$A:$E,4,0))
),$C511)</f>
        <v>49799.040000000001</v>
      </c>
      <c r="N511" s="17">
        <f>IFERROR(
IF(
$A511="","",
(VLOOKUP($G511,'nuevos productoss'!$A:$E,5,0))
),$C511)</f>
        <v>42202.495999999999</v>
      </c>
      <c r="O511" s="17">
        <f t="shared" si="23"/>
        <v>7596.5440000000017</v>
      </c>
    </row>
    <row r="512" spans="1:15" x14ac:dyDescent="0.3">
      <c r="A512" s="5" t="s">
        <v>941</v>
      </c>
      <c r="B512" s="20">
        <v>30</v>
      </c>
      <c r="C512" s="21">
        <v>20232.050999999999</v>
      </c>
      <c r="D512" s="18">
        <f t="shared" si="21"/>
        <v>20232.050999999999</v>
      </c>
      <c r="E512" s="21">
        <f t="shared" si="22"/>
        <v>19220.44845</v>
      </c>
      <c r="F512" s="18">
        <v>1</v>
      </c>
      <c r="G512" s="23" t="s">
        <v>942</v>
      </c>
      <c r="H512" s="22" t="s">
        <v>1058</v>
      </c>
      <c r="I512" s="22" t="s">
        <v>1065</v>
      </c>
      <c r="J512" s="22" t="s">
        <v>1423</v>
      </c>
      <c r="K512" s="11" t="s">
        <v>1467</v>
      </c>
      <c r="M512" s="17">
        <f>IFERROR(
IF(
$A512="","",
(VLOOKUP($G512,'nuevos productoss'!$A:$E,4,0))
),$C512)</f>
        <v>19865.892</v>
      </c>
      <c r="N512" s="17">
        <f>IFERROR(
IF(
$A512="","",
(VLOOKUP($G512,'nuevos productoss'!$A:$E,5,0))
),$C512)</f>
        <v>16835.592000000001</v>
      </c>
      <c r="O512" s="17">
        <f t="shared" si="23"/>
        <v>3030.2999999999993</v>
      </c>
    </row>
    <row r="513" spans="1:15" x14ac:dyDescent="0.3">
      <c r="A513" s="5" t="s">
        <v>943</v>
      </c>
      <c r="B513" s="20">
        <v>30</v>
      </c>
      <c r="C513" s="21">
        <v>32494.937999999998</v>
      </c>
      <c r="D513" s="18">
        <f t="shared" si="21"/>
        <v>32494.937999999998</v>
      </c>
      <c r="E513" s="21">
        <f t="shared" si="22"/>
        <v>30870.191099999996</v>
      </c>
      <c r="F513" s="18">
        <v>1</v>
      </c>
      <c r="G513" s="23" t="s">
        <v>944</v>
      </c>
      <c r="H513" s="22" t="s">
        <v>1058</v>
      </c>
      <c r="I513" s="22" t="s">
        <v>1065</v>
      </c>
      <c r="J513" s="22" t="s">
        <v>1423</v>
      </c>
      <c r="K513" s="11" t="s">
        <v>1467</v>
      </c>
      <c r="M513" s="17">
        <f>IFERROR(
IF(
$A513="","",
(VLOOKUP($G513,'nuevos productoss'!$A:$E,4,0))
),$C513)</f>
        <v>31907.024000000001</v>
      </c>
      <c r="N513" s="17">
        <f>IFERROR(
IF(
$A513="","",
(VLOOKUP($G513,'nuevos productoss'!$A:$E,5,0))
),$C513)</f>
        <v>27039.748</v>
      </c>
      <c r="O513" s="17">
        <f t="shared" si="23"/>
        <v>4867.2760000000017</v>
      </c>
    </row>
    <row r="514" spans="1:15" x14ac:dyDescent="0.3">
      <c r="A514" s="5" t="s">
        <v>945</v>
      </c>
      <c r="B514" s="20">
        <v>30</v>
      </c>
      <c r="C514" s="21">
        <v>22827.188999999998</v>
      </c>
      <c r="D514" s="18">
        <f t="shared" si="21"/>
        <v>22827.188999999998</v>
      </c>
      <c r="E514" s="21">
        <f t="shared" si="22"/>
        <v>21685.829549999999</v>
      </c>
      <c r="F514" s="18">
        <v>1</v>
      </c>
      <c r="G514" s="23" t="s">
        <v>946</v>
      </c>
      <c r="H514" s="22" t="s">
        <v>1058</v>
      </c>
      <c r="I514" s="22" t="s">
        <v>1065</v>
      </c>
      <c r="J514" s="22" t="s">
        <v>1423</v>
      </c>
      <c r="K514" s="11" t="s">
        <v>1467</v>
      </c>
      <c r="M514" s="17">
        <f>IFERROR(
IF(
$A514="","",
(VLOOKUP($G514,'nuevos productoss'!$A:$E,4,0))
),$C514)</f>
        <v>22414.304</v>
      </c>
      <c r="N514" s="17">
        <f>IFERROR(
IF(
$A514="","",
(VLOOKUP($G514,'nuevos productoss'!$A:$E,5,0))
),$C514)</f>
        <v>18995.060000000001</v>
      </c>
      <c r="O514" s="17">
        <f t="shared" si="23"/>
        <v>3419.2439999999988</v>
      </c>
    </row>
    <row r="515" spans="1:15" x14ac:dyDescent="0.3">
      <c r="A515" s="5" t="s">
        <v>947</v>
      </c>
      <c r="B515" s="20">
        <v>30</v>
      </c>
      <c r="C515" s="21">
        <v>25737.642</v>
      </c>
      <c r="D515" s="18">
        <f t="shared" ref="D515:D578" si="24">+C515</f>
        <v>25737.642</v>
      </c>
      <c r="E515" s="21">
        <f t="shared" ref="E515:E578" si="25">IF(
A515="","",
C515*0.95)</f>
        <v>24450.759899999997</v>
      </c>
      <c r="F515" s="18">
        <v>1</v>
      </c>
      <c r="G515" s="23" t="s">
        <v>948</v>
      </c>
      <c r="H515" s="22" t="s">
        <v>1058</v>
      </c>
      <c r="I515" s="22" t="s">
        <v>1065</v>
      </c>
      <c r="J515" s="22" t="s">
        <v>1423</v>
      </c>
      <c r="K515" s="11" t="s">
        <v>1467</v>
      </c>
      <c r="M515" s="17">
        <f>IFERROR(
IF(
$A515="","",
(VLOOKUP($G515,'nuevos productoss'!$A:$E,4,0))
),$C515)</f>
        <v>25271.887999999999</v>
      </c>
      <c r="N515" s="17">
        <f>IFERROR(
IF(
$A515="","",
(VLOOKUP($G515,'nuevos productoss'!$A:$E,5,0))
),$C515)</f>
        <v>21416.932000000001</v>
      </c>
      <c r="O515" s="17">
        <f t="shared" ref="O515:O578" si="26">IFERROR(M515-N515,0)</f>
        <v>3854.9559999999983</v>
      </c>
    </row>
    <row r="516" spans="1:15" x14ac:dyDescent="0.3">
      <c r="A516" s="5" t="s">
        <v>949</v>
      </c>
      <c r="B516" s="20">
        <v>30</v>
      </c>
      <c r="C516" s="21">
        <v>13139.742</v>
      </c>
      <c r="D516" s="18">
        <f t="shared" si="24"/>
        <v>13139.742</v>
      </c>
      <c r="E516" s="21">
        <f t="shared" si="25"/>
        <v>12482.7549</v>
      </c>
      <c r="F516" s="18">
        <v>1</v>
      </c>
      <c r="G516" s="23" t="s">
        <v>950</v>
      </c>
      <c r="H516" s="22" t="s">
        <v>1058</v>
      </c>
      <c r="I516" s="22" t="s">
        <v>1065</v>
      </c>
      <c r="J516" s="22" t="s">
        <v>1423</v>
      </c>
      <c r="K516" s="11" t="s">
        <v>1467</v>
      </c>
      <c r="M516" s="17">
        <f>IFERROR(
IF(
$A516="","",
(VLOOKUP($G516,'nuevos productoss'!$A:$E,4,0))
),$C516)</f>
        <v>13065.144</v>
      </c>
      <c r="N516" s="17">
        <f>IFERROR(
IF(
$A516="","",
(VLOOKUP($G516,'nuevos productoss'!$A:$E,5,0))
),$C516)</f>
        <v>11072.175999999999</v>
      </c>
      <c r="O516" s="17">
        <f t="shared" si="26"/>
        <v>1992.9680000000008</v>
      </c>
    </row>
    <row r="517" spans="1:15" x14ac:dyDescent="0.3">
      <c r="A517" s="5" t="s">
        <v>951</v>
      </c>
      <c r="B517" s="20">
        <v>30</v>
      </c>
      <c r="C517" s="21">
        <v>32510.667000000001</v>
      </c>
      <c r="D517" s="18">
        <f t="shared" si="24"/>
        <v>32510.667000000001</v>
      </c>
      <c r="E517" s="21">
        <f t="shared" si="25"/>
        <v>30885.13365</v>
      </c>
      <c r="F517" s="18">
        <v>1</v>
      </c>
      <c r="G517" s="23" t="s">
        <v>952</v>
      </c>
      <c r="H517" s="22" t="s">
        <v>1058</v>
      </c>
      <c r="I517" s="22" t="s">
        <v>1065</v>
      </c>
      <c r="J517" s="22" t="s">
        <v>1423</v>
      </c>
      <c r="K517" s="11" t="s">
        <v>1467</v>
      </c>
      <c r="M517" s="17">
        <f>IFERROR(
IF(
$A517="","",
(VLOOKUP($G517,'nuevos productoss'!$A:$E,4,0))
),$C517)</f>
        <v>31922.416000000001</v>
      </c>
      <c r="N517" s="17">
        <f>IFERROR(
IF(
$A517="","",
(VLOOKUP($G517,'nuevos productoss'!$A:$E,5,0))
),$C517)</f>
        <v>27052.92</v>
      </c>
      <c r="O517" s="17">
        <f t="shared" si="26"/>
        <v>4869.4960000000028</v>
      </c>
    </row>
    <row r="518" spans="1:15" x14ac:dyDescent="0.3">
      <c r="A518" s="5" t="s">
        <v>953</v>
      </c>
      <c r="B518" s="20">
        <v>30</v>
      </c>
      <c r="C518" s="21">
        <v>25870.383000000002</v>
      </c>
      <c r="D518" s="18">
        <f t="shared" si="24"/>
        <v>25870.383000000002</v>
      </c>
      <c r="E518" s="21">
        <f t="shared" si="25"/>
        <v>24576.863850000002</v>
      </c>
      <c r="F518" s="18">
        <v>1</v>
      </c>
      <c r="G518" s="23" t="s">
        <v>954</v>
      </c>
      <c r="H518" s="22" t="s">
        <v>1058</v>
      </c>
      <c r="I518" s="22" t="s">
        <v>1065</v>
      </c>
      <c r="J518" s="22" t="s">
        <v>1423</v>
      </c>
      <c r="K518" s="11" t="s">
        <v>1467</v>
      </c>
      <c r="M518" s="17">
        <f>IFERROR(
IF(
$A518="","",
(VLOOKUP($G518,'nuevos productoss'!$A:$E,4,0))
),$C518)</f>
        <v>25402.276000000002</v>
      </c>
      <c r="N518" s="17">
        <f>IFERROR(
IF(
$A518="","",
(VLOOKUP($G518,'nuevos productoss'!$A:$E,5,0))
),$C518)</f>
        <v>21527.34</v>
      </c>
      <c r="O518" s="17">
        <f t="shared" si="26"/>
        <v>3874.9360000000015</v>
      </c>
    </row>
    <row r="519" spans="1:15" x14ac:dyDescent="0.3">
      <c r="A519" s="5" t="s">
        <v>955</v>
      </c>
      <c r="B519" s="20">
        <v>30</v>
      </c>
      <c r="C519" s="21">
        <v>33239.345999999998</v>
      </c>
      <c r="D519" s="18">
        <f t="shared" si="24"/>
        <v>33239.345999999998</v>
      </c>
      <c r="E519" s="21">
        <f t="shared" si="25"/>
        <v>31577.378699999997</v>
      </c>
      <c r="F519" s="18">
        <v>1</v>
      </c>
      <c r="G519" s="23" t="s">
        <v>956</v>
      </c>
      <c r="H519" s="22" t="s">
        <v>1058</v>
      </c>
      <c r="I519" s="22" t="s">
        <v>1065</v>
      </c>
      <c r="J519" s="22" t="s">
        <v>1423</v>
      </c>
      <c r="K519" s="11" t="s">
        <v>1467</v>
      </c>
      <c r="M519" s="17">
        <f>IFERROR(
IF(
$A519="","",
(VLOOKUP($G519,'nuevos productoss'!$A:$E,4,0))
),$C519)</f>
        <v>32637.995999999999</v>
      </c>
      <c r="N519" s="17">
        <f>IFERROR(
IF(
$A519="","",
(VLOOKUP($G519,'nuevos productoss'!$A:$E,5,0))
),$C519)</f>
        <v>27659.276000000002</v>
      </c>
      <c r="O519" s="17">
        <f t="shared" si="26"/>
        <v>4978.7199999999975</v>
      </c>
    </row>
    <row r="520" spans="1:15" x14ac:dyDescent="0.3">
      <c r="A520" s="5" t="s">
        <v>957</v>
      </c>
      <c r="B520" s="20">
        <v>30</v>
      </c>
      <c r="C520" s="21">
        <v>42933.701999999997</v>
      </c>
      <c r="D520" s="18">
        <f t="shared" si="24"/>
        <v>42933.701999999997</v>
      </c>
      <c r="E520" s="21">
        <f t="shared" si="25"/>
        <v>40787.016899999995</v>
      </c>
      <c r="F520" s="18">
        <v>1</v>
      </c>
      <c r="G520" s="23" t="s">
        <v>958</v>
      </c>
      <c r="H520" s="22" t="s">
        <v>1058</v>
      </c>
      <c r="I520" s="22" t="s">
        <v>1065</v>
      </c>
      <c r="J520" s="22" t="s">
        <v>1423</v>
      </c>
      <c r="K520" s="11" t="s">
        <v>1467</v>
      </c>
      <c r="M520" s="17">
        <f>IFERROR(
IF(
$A520="","",
(VLOOKUP($G520,'nuevos productoss'!$A:$E,4,0))
),$C520)</f>
        <v>42440.627999999997</v>
      </c>
      <c r="N520" s="17">
        <f>IFERROR(
IF(
$A520="","",
(VLOOKUP($G520,'nuevos productoss'!$A:$E,5,0))
),$C520)</f>
        <v>35966.663999999997</v>
      </c>
      <c r="O520" s="17">
        <f t="shared" si="26"/>
        <v>6473.9639999999999</v>
      </c>
    </row>
    <row r="521" spans="1:15" x14ac:dyDescent="0.3">
      <c r="A521" s="5" t="s">
        <v>959</v>
      </c>
      <c r="B521" s="20">
        <v>30</v>
      </c>
      <c r="C521" s="21">
        <v>16574.102999999999</v>
      </c>
      <c r="D521" s="18">
        <f t="shared" si="24"/>
        <v>16574.102999999999</v>
      </c>
      <c r="E521" s="21">
        <f t="shared" si="25"/>
        <v>15745.397849999998</v>
      </c>
      <c r="F521" s="18">
        <v>1</v>
      </c>
      <c r="G521" s="23" t="s">
        <v>960</v>
      </c>
      <c r="H521" s="22" t="s">
        <v>1058</v>
      </c>
      <c r="I521" s="22" t="s">
        <v>1065</v>
      </c>
      <c r="J521" s="22" t="s">
        <v>1423</v>
      </c>
      <c r="K521" s="11" t="s">
        <v>1467</v>
      </c>
      <c r="M521" s="17">
        <f>IFERROR(
IF(
$A521="","",
(VLOOKUP($G521,'nuevos productoss'!$A:$E,4,0))
),$C521)</f>
        <v>16274.227999999999</v>
      </c>
      <c r="N521" s="17">
        <f>IFERROR(
IF(
$A521="","",
(VLOOKUP($G521,'nuevos productoss'!$A:$E,5,0))
),$C521)</f>
        <v>13791.675999999999</v>
      </c>
      <c r="O521" s="17">
        <f t="shared" si="26"/>
        <v>2482.5519999999997</v>
      </c>
    </row>
    <row r="522" spans="1:15" x14ac:dyDescent="0.3">
      <c r="A522" s="5" t="s">
        <v>961</v>
      </c>
      <c r="B522" s="20">
        <v>30</v>
      </c>
      <c r="C522" s="21">
        <v>16202.192999999999</v>
      </c>
      <c r="D522" s="18">
        <f t="shared" si="24"/>
        <v>16202.192999999999</v>
      </c>
      <c r="E522" s="21">
        <f t="shared" si="25"/>
        <v>15392.083349999999</v>
      </c>
      <c r="F522" s="18">
        <v>1</v>
      </c>
      <c r="G522" s="23" t="s">
        <v>962</v>
      </c>
      <c r="H522" s="22" t="s">
        <v>1058</v>
      </c>
      <c r="I522" s="22" t="s">
        <v>1065</v>
      </c>
      <c r="J522" s="22" t="s">
        <v>1423</v>
      </c>
      <c r="K522" s="11" t="s">
        <v>1467</v>
      </c>
      <c r="M522" s="17">
        <f>IFERROR(
IF(
$A522="","",
(VLOOKUP($G522,'nuevos productoss'!$A:$E,4,0))
),$C522)</f>
        <v>15909.111999999999</v>
      </c>
      <c r="N522" s="17">
        <f>IFERROR(
IF(
$A522="","",
(VLOOKUP($G522,'nuevos productoss'!$A:$E,5,0))
),$C522)</f>
        <v>13482.208000000001</v>
      </c>
      <c r="O522" s="17">
        <f t="shared" si="26"/>
        <v>2426.9039999999986</v>
      </c>
    </row>
    <row r="523" spans="1:15" x14ac:dyDescent="0.3">
      <c r="A523" s="5" t="s">
        <v>963</v>
      </c>
      <c r="B523" s="20">
        <v>30</v>
      </c>
      <c r="C523" s="21">
        <v>20239.401000000002</v>
      </c>
      <c r="D523" s="18">
        <f t="shared" si="24"/>
        <v>20239.401000000002</v>
      </c>
      <c r="E523" s="21">
        <f t="shared" si="25"/>
        <v>19227.430950000002</v>
      </c>
      <c r="F523" s="18">
        <v>1</v>
      </c>
      <c r="G523" s="23" t="s">
        <v>964</v>
      </c>
      <c r="H523" s="22" t="s">
        <v>1058</v>
      </c>
      <c r="I523" s="22" t="s">
        <v>1065</v>
      </c>
      <c r="J523" s="22" t="s">
        <v>1423</v>
      </c>
      <c r="K523" s="11" t="s">
        <v>1467</v>
      </c>
      <c r="M523" s="17">
        <f>IFERROR(
IF(
$A523="","",
(VLOOKUP($G523,'nuevos productoss'!$A:$E,4,0))
),$C523)</f>
        <v>19873.292000000001</v>
      </c>
      <c r="N523" s="17">
        <f>IFERROR(
IF(
$A523="","",
(VLOOKUP($G523,'nuevos productoss'!$A:$E,5,0))
),$C523)</f>
        <v>16841.808000000001</v>
      </c>
      <c r="O523" s="17">
        <f t="shared" si="26"/>
        <v>3031.4840000000004</v>
      </c>
    </row>
    <row r="524" spans="1:15" x14ac:dyDescent="0.3">
      <c r="A524" s="5" t="s">
        <v>965</v>
      </c>
      <c r="B524" s="20">
        <v>30</v>
      </c>
      <c r="C524" s="21">
        <v>20239.401000000002</v>
      </c>
      <c r="D524" s="18">
        <f t="shared" si="24"/>
        <v>20239.401000000002</v>
      </c>
      <c r="E524" s="21">
        <f t="shared" si="25"/>
        <v>19227.430950000002</v>
      </c>
      <c r="F524" s="18">
        <v>1</v>
      </c>
      <c r="G524" s="23" t="s">
        <v>966</v>
      </c>
      <c r="H524" s="22" t="s">
        <v>1058</v>
      </c>
      <c r="I524" s="22" t="s">
        <v>1065</v>
      </c>
      <c r="J524" s="22" t="s">
        <v>1423</v>
      </c>
      <c r="K524" s="11" t="s">
        <v>1467</v>
      </c>
      <c r="M524" s="17">
        <f>IFERROR(
IF(
$A524="","",
(VLOOKUP($G524,'nuevos productoss'!$A:$E,4,0))
),$C524)</f>
        <v>19873.292000000001</v>
      </c>
      <c r="N524" s="17">
        <f>IFERROR(
IF(
$A524="","",
(VLOOKUP($G524,'nuevos productoss'!$A:$E,5,0))
),$C524)</f>
        <v>16841.808000000001</v>
      </c>
      <c r="O524" s="17">
        <f t="shared" si="26"/>
        <v>3031.4840000000004</v>
      </c>
    </row>
    <row r="525" spans="1:15" x14ac:dyDescent="0.3">
      <c r="A525" s="5" t="s">
        <v>967</v>
      </c>
      <c r="B525" s="20">
        <v>30</v>
      </c>
      <c r="C525" s="21">
        <v>20239.401000000002</v>
      </c>
      <c r="D525" s="18">
        <f t="shared" si="24"/>
        <v>20239.401000000002</v>
      </c>
      <c r="E525" s="21">
        <f t="shared" si="25"/>
        <v>19227.430950000002</v>
      </c>
      <c r="F525" s="18">
        <v>1</v>
      </c>
      <c r="G525" s="23" t="s">
        <v>968</v>
      </c>
      <c r="H525" s="22" t="s">
        <v>1058</v>
      </c>
      <c r="I525" s="22" t="s">
        <v>1065</v>
      </c>
      <c r="J525" s="22" t="s">
        <v>1423</v>
      </c>
      <c r="K525" s="11" t="s">
        <v>1467</v>
      </c>
      <c r="M525" s="17">
        <f>IFERROR(
IF(
$A525="","",
(VLOOKUP($G525,'nuevos productoss'!$A:$E,4,0))
),$C525)</f>
        <v>19873.292000000001</v>
      </c>
      <c r="N525" s="17">
        <f>IFERROR(
IF(
$A525="","",
(VLOOKUP($G525,'nuevos productoss'!$A:$E,5,0))
),$C525)</f>
        <v>16841.808000000001</v>
      </c>
      <c r="O525" s="17">
        <f t="shared" si="26"/>
        <v>3031.4840000000004</v>
      </c>
    </row>
    <row r="526" spans="1:15" x14ac:dyDescent="0.3">
      <c r="A526" s="5" t="s">
        <v>969</v>
      </c>
      <c r="B526" s="20">
        <v>30</v>
      </c>
      <c r="C526" s="21">
        <v>20239.401000000002</v>
      </c>
      <c r="D526" s="18">
        <f t="shared" si="24"/>
        <v>20239.401000000002</v>
      </c>
      <c r="E526" s="21">
        <f t="shared" si="25"/>
        <v>19227.430950000002</v>
      </c>
      <c r="F526" s="18">
        <v>1</v>
      </c>
      <c r="G526" s="23" t="s">
        <v>970</v>
      </c>
      <c r="H526" s="22" t="s">
        <v>1058</v>
      </c>
      <c r="I526" s="22" t="s">
        <v>1065</v>
      </c>
      <c r="J526" s="22" t="s">
        <v>1423</v>
      </c>
      <c r="K526" s="11" t="s">
        <v>1467</v>
      </c>
      <c r="M526" s="17">
        <f>IFERROR(
IF(
$A526="","",
(VLOOKUP($G526,'nuevos productoss'!$A:$E,4,0))
),$C526)</f>
        <v>19873.292000000001</v>
      </c>
      <c r="N526" s="17">
        <f>IFERROR(
IF(
$A526="","",
(VLOOKUP($G526,'nuevos productoss'!$A:$E,5,0))
),$C526)</f>
        <v>16841.808000000001</v>
      </c>
      <c r="O526" s="17">
        <f t="shared" si="26"/>
        <v>3031.4840000000004</v>
      </c>
    </row>
    <row r="527" spans="1:15" x14ac:dyDescent="0.3">
      <c r="A527" s="5" t="s">
        <v>971</v>
      </c>
      <c r="B527" s="20">
        <v>30</v>
      </c>
      <c r="C527" s="21">
        <v>10763.781000000001</v>
      </c>
      <c r="D527" s="18">
        <f t="shared" si="24"/>
        <v>10763.781000000001</v>
      </c>
      <c r="E527" s="21">
        <f t="shared" si="25"/>
        <v>10225.59195</v>
      </c>
      <c r="F527" s="18">
        <v>1</v>
      </c>
      <c r="G527" s="23" t="s">
        <v>972</v>
      </c>
      <c r="H527" s="22" t="s">
        <v>1058</v>
      </c>
      <c r="I527" s="22" t="s">
        <v>1065</v>
      </c>
      <c r="J527" s="22" t="s">
        <v>1423</v>
      </c>
      <c r="K527" s="11" t="s">
        <v>1467</v>
      </c>
      <c r="M527" s="17">
        <f>IFERROR(
IF(
$A527="","",
(VLOOKUP($G527,'nuevos productoss'!$A:$E,4,0))
),$C527)</f>
        <v>10567.495999999999</v>
      </c>
      <c r="N527" s="17">
        <f>IFERROR(
IF(
$A527="","",
(VLOOKUP($G527,'nuevos productoss'!$A:$E,5,0))
),$C527)</f>
        <v>8955.48</v>
      </c>
      <c r="O527" s="17">
        <f t="shared" si="26"/>
        <v>1612.0159999999996</v>
      </c>
    </row>
    <row r="528" spans="1:15" x14ac:dyDescent="0.3">
      <c r="A528" s="5" t="s">
        <v>973</v>
      </c>
      <c r="B528" s="20">
        <v>30</v>
      </c>
      <c r="C528" s="21">
        <v>10659.263999999999</v>
      </c>
      <c r="D528" s="18">
        <f t="shared" si="24"/>
        <v>10659.263999999999</v>
      </c>
      <c r="E528" s="21">
        <f t="shared" si="25"/>
        <v>10126.300799999999</v>
      </c>
      <c r="F528" s="18">
        <v>1</v>
      </c>
      <c r="G528" s="23" t="s">
        <v>974</v>
      </c>
      <c r="H528" s="22" t="s">
        <v>1058</v>
      </c>
      <c r="I528" s="22" t="s">
        <v>1065</v>
      </c>
      <c r="J528" s="22" t="s">
        <v>1423</v>
      </c>
      <c r="K528" s="11" t="s">
        <v>1467</v>
      </c>
      <c r="M528" s="17">
        <f>IFERROR(
IF(
$A528="","",
(VLOOKUP($G528,'nuevos productoss'!$A:$E,4,0))
),$C528)</f>
        <v>10464.932000000001</v>
      </c>
      <c r="N528" s="17">
        <f>IFERROR(
IF(
$A528="","",
(VLOOKUP($G528,'nuevos productoss'!$A:$E,5,0))
),$C528)</f>
        <v>8868.6039999999994</v>
      </c>
      <c r="O528" s="17">
        <f t="shared" si="26"/>
        <v>1596.3280000000013</v>
      </c>
    </row>
    <row r="529" spans="1:15" x14ac:dyDescent="0.3">
      <c r="A529" s="5" t="s">
        <v>975</v>
      </c>
      <c r="B529" s="20">
        <v>30</v>
      </c>
      <c r="C529" s="21">
        <v>10763.781000000001</v>
      </c>
      <c r="D529" s="18">
        <f t="shared" si="24"/>
        <v>10763.781000000001</v>
      </c>
      <c r="E529" s="21">
        <f t="shared" si="25"/>
        <v>10225.59195</v>
      </c>
      <c r="F529" s="18">
        <v>1</v>
      </c>
      <c r="G529" s="23" t="s">
        <v>976</v>
      </c>
      <c r="H529" s="22" t="s">
        <v>1058</v>
      </c>
      <c r="I529" s="22" t="s">
        <v>1065</v>
      </c>
      <c r="J529" s="22" t="s">
        <v>1423</v>
      </c>
      <c r="K529" s="11" t="s">
        <v>1467</v>
      </c>
      <c r="M529" s="17">
        <f>IFERROR(
IF(
$A529="","",
(VLOOKUP($G529,'nuevos productoss'!$A:$E,4,0))
),$C529)</f>
        <v>10567.495999999999</v>
      </c>
      <c r="N529" s="17">
        <f>IFERROR(
IF(
$A529="","",
(VLOOKUP($G529,'nuevos productoss'!$A:$E,5,0))
),$C529)</f>
        <v>8955.48</v>
      </c>
      <c r="O529" s="17">
        <f t="shared" si="26"/>
        <v>1612.0159999999996</v>
      </c>
    </row>
    <row r="530" spans="1:15" x14ac:dyDescent="0.3">
      <c r="A530" s="5" t="s">
        <v>977</v>
      </c>
      <c r="B530" s="20">
        <v>30</v>
      </c>
      <c r="C530" s="21">
        <v>10763.781000000001</v>
      </c>
      <c r="D530" s="18">
        <f t="shared" si="24"/>
        <v>10763.781000000001</v>
      </c>
      <c r="E530" s="21">
        <f t="shared" si="25"/>
        <v>10225.59195</v>
      </c>
      <c r="F530" s="18">
        <v>1</v>
      </c>
      <c r="G530" s="23" t="s">
        <v>978</v>
      </c>
      <c r="H530" s="22" t="s">
        <v>1058</v>
      </c>
      <c r="I530" s="22" t="s">
        <v>1065</v>
      </c>
      <c r="J530" s="22" t="s">
        <v>1423</v>
      </c>
      <c r="K530" s="11" t="s">
        <v>1467</v>
      </c>
      <c r="M530" s="17">
        <f>IFERROR(
IF(
$A530="","",
(VLOOKUP($G530,'nuevos productoss'!$A:$E,4,0))
),$C530)</f>
        <v>10567.495999999999</v>
      </c>
      <c r="N530" s="17">
        <f>IFERROR(
IF(
$A530="","",
(VLOOKUP($G530,'nuevos productoss'!$A:$E,5,0))
),$C530)</f>
        <v>8955.48</v>
      </c>
      <c r="O530" s="17">
        <f t="shared" si="26"/>
        <v>1612.0159999999996</v>
      </c>
    </row>
    <row r="531" spans="1:15" x14ac:dyDescent="0.3">
      <c r="A531" s="5" t="s">
        <v>979</v>
      </c>
      <c r="B531" s="20">
        <v>30</v>
      </c>
      <c r="C531" s="21">
        <v>15722.385</v>
      </c>
      <c r="D531" s="18">
        <f t="shared" si="24"/>
        <v>15722.385</v>
      </c>
      <c r="E531" s="21">
        <f t="shared" si="25"/>
        <v>14936.265749999999</v>
      </c>
      <c r="F531" s="18">
        <v>1</v>
      </c>
      <c r="G531" s="23" t="s">
        <v>980</v>
      </c>
      <c r="H531" s="22" t="s">
        <v>1058</v>
      </c>
      <c r="I531" s="22" t="s">
        <v>1065</v>
      </c>
      <c r="J531" s="22" t="s">
        <v>1423</v>
      </c>
      <c r="K531" s="11" t="s">
        <v>1467</v>
      </c>
      <c r="M531" s="17">
        <f>IFERROR(
IF(
$A531="","",
(VLOOKUP($G531,'nuevos productoss'!$A:$E,4,0))
),$C531)</f>
        <v>15433.588</v>
      </c>
      <c r="N531" s="17">
        <f>IFERROR(
IF(
$A531="","",
(VLOOKUP($G531,'nuevos productoss'!$A:$E,5,0))
),$C531)</f>
        <v>13079.352000000001</v>
      </c>
      <c r="O531" s="17">
        <f t="shared" si="26"/>
        <v>2354.235999999999</v>
      </c>
    </row>
    <row r="532" spans="1:15" x14ac:dyDescent="0.3">
      <c r="A532" s="5" t="s">
        <v>981</v>
      </c>
      <c r="B532" s="20">
        <v>30</v>
      </c>
      <c r="C532" s="21">
        <v>15722.385</v>
      </c>
      <c r="D532" s="18">
        <f t="shared" si="24"/>
        <v>15722.385</v>
      </c>
      <c r="E532" s="21">
        <f t="shared" si="25"/>
        <v>14936.265749999999</v>
      </c>
      <c r="F532" s="18">
        <v>1</v>
      </c>
      <c r="G532" s="23" t="s">
        <v>982</v>
      </c>
      <c r="H532" s="22" t="s">
        <v>1058</v>
      </c>
      <c r="I532" s="22" t="s">
        <v>1065</v>
      </c>
      <c r="J532" s="22" t="s">
        <v>1423</v>
      </c>
      <c r="K532" s="11" t="s">
        <v>1467</v>
      </c>
      <c r="M532" s="17">
        <f>IFERROR(
IF(
$A532="","",
(VLOOKUP($G532,'nuevos productoss'!$A:$E,4,0))
),$C532)</f>
        <v>15433.588</v>
      </c>
      <c r="N532" s="17">
        <f>IFERROR(
IF(
$A532="","",
(VLOOKUP($G532,'nuevos productoss'!$A:$E,5,0))
),$C532)</f>
        <v>13079.352000000001</v>
      </c>
      <c r="O532" s="17">
        <f t="shared" si="26"/>
        <v>2354.235999999999</v>
      </c>
    </row>
    <row r="533" spans="1:15" x14ac:dyDescent="0.3">
      <c r="A533" s="5" t="s">
        <v>983</v>
      </c>
      <c r="B533" s="20">
        <v>30</v>
      </c>
      <c r="C533" s="21">
        <v>15722.385</v>
      </c>
      <c r="D533" s="18">
        <f t="shared" si="24"/>
        <v>15722.385</v>
      </c>
      <c r="E533" s="21">
        <f t="shared" si="25"/>
        <v>14936.265749999999</v>
      </c>
      <c r="F533" s="18">
        <v>1</v>
      </c>
      <c r="G533" s="23" t="s">
        <v>984</v>
      </c>
      <c r="H533" s="22" t="s">
        <v>1058</v>
      </c>
      <c r="I533" s="22" t="s">
        <v>1065</v>
      </c>
      <c r="J533" s="22" t="s">
        <v>1423</v>
      </c>
      <c r="K533" s="11" t="s">
        <v>1467</v>
      </c>
      <c r="M533" s="17">
        <f>IFERROR(
IF(
$A533="","",
(VLOOKUP($G533,'nuevos productoss'!$A:$E,4,0))
),$C533)</f>
        <v>15433.588</v>
      </c>
      <c r="N533" s="17">
        <f>IFERROR(
IF(
$A533="","",
(VLOOKUP($G533,'nuevos productoss'!$A:$E,5,0))
),$C533)</f>
        <v>13079.352000000001</v>
      </c>
      <c r="O533" s="17">
        <f t="shared" si="26"/>
        <v>2354.235999999999</v>
      </c>
    </row>
    <row r="534" spans="1:15" x14ac:dyDescent="0.3">
      <c r="A534" s="5" t="s">
        <v>985</v>
      </c>
      <c r="B534" s="20">
        <v>30</v>
      </c>
      <c r="C534" s="21">
        <v>15722.385</v>
      </c>
      <c r="D534" s="18">
        <f t="shared" si="24"/>
        <v>15722.385</v>
      </c>
      <c r="E534" s="21">
        <f t="shared" si="25"/>
        <v>14936.265749999999</v>
      </c>
      <c r="F534" s="18">
        <v>1</v>
      </c>
      <c r="G534" s="23" t="s">
        <v>986</v>
      </c>
      <c r="H534" s="22" t="s">
        <v>1058</v>
      </c>
      <c r="I534" s="22" t="s">
        <v>1065</v>
      </c>
      <c r="J534" s="22" t="s">
        <v>1423</v>
      </c>
      <c r="K534" s="11" t="s">
        <v>1467</v>
      </c>
      <c r="M534" s="17">
        <f>IFERROR(
IF(
$A534="","",
(VLOOKUP($G534,'nuevos productoss'!$A:$E,4,0))
),$C534)</f>
        <v>15433.588</v>
      </c>
      <c r="N534" s="17">
        <f>IFERROR(
IF(
$A534="","",
(VLOOKUP($G534,'nuevos productoss'!$A:$E,5,0))
),$C534)</f>
        <v>13079.352000000001</v>
      </c>
      <c r="O534" s="17">
        <f t="shared" si="26"/>
        <v>2354.235999999999</v>
      </c>
    </row>
    <row r="535" spans="1:15" x14ac:dyDescent="0.3">
      <c r="A535" s="5" t="s">
        <v>987</v>
      </c>
      <c r="B535" s="20">
        <v>30</v>
      </c>
      <c r="C535" s="21">
        <v>13698.636</v>
      </c>
      <c r="D535" s="18">
        <f t="shared" si="24"/>
        <v>13698.636</v>
      </c>
      <c r="E535" s="21">
        <f t="shared" si="25"/>
        <v>13013.7042</v>
      </c>
      <c r="F535" s="18">
        <v>1</v>
      </c>
      <c r="G535" s="23" t="s">
        <v>988</v>
      </c>
      <c r="H535" s="22" t="s">
        <v>1058</v>
      </c>
      <c r="I535" s="22" t="s">
        <v>1065</v>
      </c>
      <c r="J535" s="22" t="s">
        <v>1423</v>
      </c>
      <c r="K535" s="11" t="s">
        <v>1467</v>
      </c>
      <c r="M535" s="17">
        <f>IFERROR(
IF(
$A535="","",
(VLOOKUP($G535,'nuevos productoss'!$A:$E,4,0))
),$C535)</f>
        <v>13447.132</v>
      </c>
      <c r="N535" s="17">
        <f>IFERROR(
IF(
$A535="","",
(VLOOKUP($G535,'nuevos productoss'!$A:$E,5,0))
),$C535)</f>
        <v>11395.852000000001</v>
      </c>
      <c r="O535" s="17">
        <f t="shared" si="26"/>
        <v>2051.2799999999988</v>
      </c>
    </row>
    <row r="536" spans="1:15" x14ac:dyDescent="0.3">
      <c r="A536" s="5" t="s">
        <v>989</v>
      </c>
      <c r="B536" s="20">
        <v>30</v>
      </c>
      <c r="C536" s="21">
        <v>13698.636</v>
      </c>
      <c r="D536" s="18">
        <f t="shared" si="24"/>
        <v>13698.636</v>
      </c>
      <c r="E536" s="21">
        <f t="shared" si="25"/>
        <v>13013.7042</v>
      </c>
      <c r="F536" s="18">
        <v>1</v>
      </c>
      <c r="G536" s="23" t="s">
        <v>990</v>
      </c>
      <c r="H536" s="22" t="s">
        <v>1058</v>
      </c>
      <c r="I536" s="22" t="s">
        <v>1065</v>
      </c>
      <c r="J536" s="22" t="s">
        <v>1423</v>
      </c>
      <c r="K536" s="11" t="s">
        <v>1467</v>
      </c>
      <c r="M536" s="17">
        <f>IFERROR(
IF(
$A536="","",
(VLOOKUP($G536,'nuevos productoss'!$A:$E,4,0))
),$C536)</f>
        <v>13447.132</v>
      </c>
      <c r="N536" s="17">
        <f>IFERROR(
IF(
$A536="","",
(VLOOKUP($G536,'nuevos productoss'!$A:$E,5,0))
),$C536)</f>
        <v>11395.852000000001</v>
      </c>
      <c r="O536" s="17">
        <f t="shared" si="26"/>
        <v>2051.2799999999988</v>
      </c>
    </row>
    <row r="537" spans="1:15" x14ac:dyDescent="0.3">
      <c r="A537" s="5" t="s">
        <v>991</v>
      </c>
      <c r="B537" s="20">
        <v>30</v>
      </c>
      <c r="C537" s="21">
        <v>13461.672</v>
      </c>
      <c r="D537" s="18">
        <f t="shared" si="24"/>
        <v>13461.672</v>
      </c>
      <c r="E537" s="21">
        <f t="shared" si="25"/>
        <v>12788.588400000001</v>
      </c>
      <c r="F537" s="18">
        <v>1</v>
      </c>
      <c r="G537" s="23" t="s">
        <v>992</v>
      </c>
      <c r="H537" s="22" t="s">
        <v>1058</v>
      </c>
      <c r="I537" s="22" t="s">
        <v>1065</v>
      </c>
      <c r="J537" s="22" t="s">
        <v>1423</v>
      </c>
      <c r="K537" s="11" t="s">
        <v>1467</v>
      </c>
      <c r="M537" s="17">
        <f>IFERROR(
IF(
$A537="","",
(VLOOKUP($G537,'nuevos productoss'!$A:$E,4,0))
),$C537)</f>
        <v>13214.328</v>
      </c>
      <c r="N537" s="17">
        <f>IFERROR(
IF(
$A537="","",
(VLOOKUP($G537,'nuevos productoss'!$A:$E,5,0))
),$C537)</f>
        <v>11198.567999999999</v>
      </c>
      <c r="O537" s="17">
        <f t="shared" si="26"/>
        <v>2015.7600000000002</v>
      </c>
    </row>
    <row r="538" spans="1:15" x14ac:dyDescent="0.3">
      <c r="A538" s="5" t="s">
        <v>993</v>
      </c>
      <c r="B538" s="20">
        <v>30</v>
      </c>
      <c r="C538" s="21">
        <v>12990.977999999999</v>
      </c>
      <c r="D538" s="18">
        <f t="shared" si="24"/>
        <v>12990.977999999999</v>
      </c>
      <c r="E538" s="21">
        <f t="shared" si="25"/>
        <v>12341.429099999999</v>
      </c>
      <c r="F538" s="18">
        <v>1</v>
      </c>
      <c r="G538" s="23" t="s">
        <v>994</v>
      </c>
      <c r="H538" s="22" t="s">
        <v>1058</v>
      </c>
      <c r="I538" s="22" t="s">
        <v>1065</v>
      </c>
      <c r="J538" s="22" t="s">
        <v>1423</v>
      </c>
      <c r="K538" s="11" t="s">
        <v>1467</v>
      </c>
      <c r="M538" s="17">
        <f>IFERROR(
IF(
$A538="","",
(VLOOKUP($G538,'nuevos productoss'!$A:$E,4,0))
),$C538)</f>
        <v>12751.384</v>
      </c>
      <c r="N538" s="17">
        <f>IFERROR(
IF(
$A538="","",
(VLOOKUP($G538,'nuevos productoss'!$A:$E,5,0))
),$C538)</f>
        <v>10806.22</v>
      </c>
      <c r="O538" s="17">
        <f t="shared" si="26"/>
        <v>1945.1640000000007</v>
      </c>
    </row>
    <row r="539" spans="1:15" x14ac:dyDescent="0.3">
      <c r="A539" s="5" t="s">
        <v>995</v>
      </c>
      <c r="B539" s="20">
        <v>360</v>
      </c>
      <c r="C539" s="21">
        <v>93181.683000000005</v>
      </c>
      <c r="D539" s="18">
        <f t="shared" si="24"/>
        <v>93181.683000000005</v>
      </c>
      <c r="E539" s="21">
        <f t="shared" si="25"/>
        <v>88522.598849999995</v>
      </c>
      <c r="F539" s="18">
        <v>1</v>
      </c>
      <c r="G539" s="23" t="s">
        <v>996</v>
      </c>
      <c r="H539" s="22" t="s">
        <v>1055</v>
      </c>
      <c r="I539" s="22" t="s">
        <v>1056</v>
      </c>
      <c r="J539" s="22" t="s">
        <v>1428</v>
      </c>
      <c r="K539" s="11" t="s">
        <v>1467</v>
      </c>
      <c r="M539" s="17">
        <f>IFERROR(
IF(
$A539="","",
(VLOOKUP($G539,'nuevos productoss'!$A:$E,4,0))
),$C539)</f>
        <v>93181.683000000005</v>
      </c>
      <c r="N539" s="17">
        <f>IFERROR(
IF(
$A539="","",
(VLOOKUP($G539,'nuevos productoss'!$A:$E,5,0))
),$C539)</f>
        <v>93181.683000000005</v>
      </c>
      <c r="O539" s="17">
        <f t="shared" si="26"/>
        <v>0</v>
      </c>
    </row>
    <row r="540" spans="1:15" x14ac:dyDescent="0.3">
      <c r="A540" s="5" t="s">
        <v>997</v>
      </c>
      <c r="B540" s="20">
        <v>360</v>
      </c>
      <c r="C540" s="21">
        <v>116224.815</v>
      </c>
      <c r="D540" s="18">
        <f t="shared" si="24"/>
        <v>116224.815</v>
      </c>
      <c r="E540" s="21">
        <f t="shared" si="25"/>
        <v>110413.57424999999</v>
      </c>
      <c r="F540" s="18">
        <v>1</v>
      </c>
      <c r="G540" s="23" t="s">
        <v>998</v>
      </c>
      <c r="H540" s="22" t="s">
        <v>1055</v>
      </c>
      <c r="I540" s="22" t="s">
        <v>1056</v>
      </c>
      <c r="J540" s="22" t="s">
        <v>1429</v>
      </c>
      <c r="K540" s="11" t="s">
        <v>1467</v>
      </c>
      <c r="M540" s="17">
        <f>IFERROR(
IF(
$A540="","",
(VLOOKUP($G540,'nuevos productoss'!$A:$E,4,0))
),$C540)</f>
        <v>116224.815</v>
      </c>
      <c r="N540" s="17">
        <f>IFERROR(
IF(
$A540="","",
(VLOOKUP($G540,'nuevos productoss'!$A:$E,5,0))
),$C540)</f>
        <v>116224.815</v>
      </c>
      <c r="O540" s="17">
        <f t="shared" si="26"/>
        <v>0</v>
      </c>
    </row>
    <row r="541" spans="1:15" x14ac:dyDescent="0.3">
      <c r="A541" s="5" t="s">
        <v>999</v>
      </c>
      <c r="B541" s="20">
        <v>360</v>
      </c>
      <c r="C541" s="21">
        <v>299125.30200000003</v>
      </c>
      <c r="D541" s="18">
        <f t="shared" si="24"/>
        <v>299125.30200000003</v>
      </c>
      <c r="E541" s="21">
        <f t="shared" si="25"/>
        <v>284169.03690000001</v>
      </c>
      <c r="F541" s="18">
        <v>1</v>
      </c>
      <c r="G541" s="23" t="s">
        <v>1000</v>
      </c>
      <c r="H541" s="22" t="s">
        <v>1055</v>
      </c>
      <c r="I541" s="22" t="s">
        <v>1056</v>
      </c>
      <c r="J541" s="22" t="s">
        <v>1430</v>
      </c>
      <c r="K541" s="11" t="s">
        <v>1467</v>
      </c>
      <c r="M541" s="17">
        <f>IFERROR(
IF(
$A541="","",
(VLOOKUP($G541,'nuevos productoss'!$A:$E,4,0))
),$C541)</f>
        <v>293631.26</v>
      </c>
      <c r="N541" s="17">
        <f>IFERROR(
IF(
$A541="","",
(VLOOKUP($G541,'nuevos productoss'!$A:$E,5,0))
),$C541)</f>
        <v>248839.948</v>
      </c>
      <c r="O541" s="17">
        <f t="shared" si="26"/>
        <v>44791.312000000005</v>
      </c>
    </row>
    <row r="542" spans="1:15" x14ac:dyDescent="0.3">
      <c r="A542" s="5" t="s">
        <v>1001</v>
      </c>
      <c r="B542" s="20">
        <v>360</v>
      </c>
      <c r="C542" s="21">
        <v>123621.561</v>
      </c>
      <c r="D542" s="18">
        <f t="shared" si="24"/>
        <v>123621.561</v>
      </c>
      <c r="E542" s="21">
        <f t="shared" si="25"/>
        <v>117440.48294999999</v>
      </c>
      <c r="F542" s="18">
        <v>1</v>
      </c>
      <c r="G542" s="23" t="s">
        <v>1002</v>
      </c>
      <c r="H542" s="22" t="s">
        <v>1055</v>
      </c>
      <c r="I542" s="22" t="s">
        <v>1056</v>
      </c>
      <c r="J542" s="22" t="s">
        <v>1431</v>
      </c>
      <c r="K542" s="11" t="s">
        <v>1467</v>
      </c>
      <c r="M542" s="17">
        <f>IFERROR(
IF(
$A542="","",
(VLOOKUP($G542,'nuevos productoss'!$A:$E,4,0))
),$C542)</f>
        <v>121359.704</v>
      </c>
      <c r="N542" s="17">
        <f>IFERROR(
IF(
$A542="","",
(VLOOKUP($G542,'nuevos productoss'!$A:$E,5,0))
),$C542)</f>
        <v>102847.272</v>
      </c>
      <c r="O542" s="17">
        <f t="shared" si="26"/>
        <v>18512.432000000001</v>
      </c>
    </row>
    <row r="543" spans="1:15" x14ac:dyDescent="0.3">
      <c r="A543" s="5" t="s">
        <v>1003</v>
      </c>
      <c r="B543" s="20">
        <v>0</v>
      </c>
      <c r="C543" s="21">
        <v>29312.829000000002</v>
      </c>
      <c r="D543" s="18">
        <f t="shared" si="24"/>
        <v>29312.829000000002</v>
      </c>
      <c r="E543" s="21">
        <f t="shared" si="25"/>
        <v>27847.187549999999</v>
      </c>
      <c r="F543" s="18">
        <v>1</v>
      </c>
      <c r="G543" s="23" t="s">
        <v>1004</v>
      </c>
      <c r="H543" s="22" t="s">
        <v>1033</v>
      </c>
      <c r="I543" s="22" t="s">
        <v>1043</v>
      </c>
      <c r="J543" s="22" t="s">
        <v>1432</v>
      </c>
      <c r="K543" s="11" t="s">
        <v>1467</v>
      </c>
      <c r="M543" s="17">
        <f>IFERROR(
IF(
$A543="","",
(VLOOKUP($G543,'nuevos productoss'!$A:$E,4,0))
),$C543)</f>
        <v>28778.6</v>
      </c>
      <c r="N543" s="17">
        <f>IFERROR(
IF(
$A543="","",
(VLOOKUP($G543,'nuevos productoss'!$A:$E,5,0))
),$C543)</f>
        <v>24388.624</v>
      </c>
      <c r="O543" s="17">
        <f t="shared" si="26"/>
        <v>4389.9759999999987</v>
      </c>
    </row>
    <row r="544" spans="1:15" x14ac:dyDescent="0.3">
      <c r="A544" s="5" t="s">
        <v>1005</v>
      </c>
      <c r="B544" s="20">
        <v>0</v>
      </c>
      <c r="C544" s="21">
        <v>19799.577000000001</v>
      </c>
      <c r="D544" s="18">
        <f t="shared" si="24"/>
        <v>19799.577000000001</v>
      </c>
      <c r="E544" s="21">
        <f t="shared" si="25"/>
        <v>18809.598150000002</v>
      </c>
      <c r="F544" s="18">
        <v>1</v>
      </c>
      <c r="G544" s="23" t="s">
        <v>1006</v>
      </c>
      <c r="H544" s="22" t="s">
        <v>1033</v>
      </c>
      <c r="I544" s="22" t="s">
        <v>1043</v>
      </c>
      <c r="J544" s="22" t="s">
        <v>1433</v>
      </c>
      <c r="K544" s="11" t="s">
        <v>1467</v>
      </c>
      <c r="M544" s="17">
        <f>IFERROR(
IF(
$A544="","",
(VLOOKUP($G544,'nuevos productoss'!$A:$E,4,0))
),$C544)</f>
        <v>19438.616000000002</v>
      </c>
      <c r="N544" s="17">
        <f>IFERROR(
IF(
$A544="","",
(VLOOKUP($G544,'nuevos productoss'!$A:$E,5,0))
),$C544)</f>
        <v>16473.436000000002</v>
      </c>
      <c r="O544" s="17">
        <f t="shared" si="26"/>
        <v>2965.1800000000003</v>
      </c>
    </row>
    <row r="545" spans="1:15" x14ac:dyDescent="0.3">
      <c r="A545" s="5" t="s">
        <v>1007</v>
      </c>
      <c r="B545" s="20">
        <v>0</v>
      </c>
      <c r="C545" s="21">
        <v>21555.345000000001</v>
      </c>
      <c r="D545" s="18">
        <f t="shared" si="24"/>
        <v>21555.345000000001</v>
      </c>
      <c r="E545" s="21">
        <f t="shared" si="25"/>
        <v>20477.57775</v>
      </c>
      <c r="F545" s="18">
        <v>1</v>
      </c>
      <c r="G545" s="23" t="s">
        <v>1008</v>
      </c>
      <c r="H545" s="22" t="s">
        <v>1033</v>
      </c>
      <c r="I545" s="22" t="s">
        <v>1043</v>
      </c>
      <c r="J545" s="22" t="s">
        <v>1434</v>
      </c>
      <c r="K545" s="11" t="s">
        <v>1467</v>
      </c>
      <c r="M545" s="17">
        <f>IFERROR(
IF(
$A545="","",
(VLOOKUP($G545,'nuevos productoss'!$A:$E,4,0))
),$C545)</f>
        <v>21160.892</v>
      </c>
      <c r="N545" s="17">
        <f>IFERROR(
IF(
$A545="","",
(VLOOKUP($G545,'nuevos productoss'!$A:$E,5,0))
),$C545)</f>
        <v>17933.011999999999</v>
      </c>
      <c r="O545" s="17">
        <f t="shared" si="26"/>
        <v>3227.880000000001</v>
      </c>
    </row>
    <row r="546" spans="1:15" x14ac:dyDescent="0.3">
      <c r="A546" s="5" t="s">
        <v>1009</v>
      </c>
      <c r="B546" s="20">
        <v>0</v>
      </c>
      <c r="C546" s="21">
        <v>18964.47</v>
      </c>
      <c r="D546" s="18">
        <f t="shared" si="24"/>
        <v>18964.47</v>
      </c>
      <c r="E546" s="21">
        <f t="shared" si="25"/>
        <v>18016.246500000001</v>
      </c>
      <c r="F546" s="18">
        <v>1</v>
      </c>
      <c r="G546" s="23" t="s">
        <v>1010</v>
      </c>
      <c r="H546" s="22" t="s">
        <v>1033</v>
      </c>
      <c r="I546" s="22" t="s">
        <v>1043</v>
      </c>
      <c r="J546" s="22" t="s">
        <v>1435</v>
      </c>
      <c r="K546" s="11" t="s">
        <v>1467</v>
      </c>
      <c r="M546" s="17">
        <f>IFERROR(
IF(
$A546="","",
(VLOOKUP($G546,'nuevos productoss'!$A:$E,4,0))
),$C546)</f>
        <v>18617.511999999999</v>
      </c>
      <c r="N546" s="17">
        <f>IFERROR(
IF(
$A546="","",
(VLOOKUP($G546,'nuevos productoss'!$A:$E,5,0))
),$C546)</f>
        <v>15777.54</v>
      </c>
      <c r="O546" s="17">
        <f t="shared" si="26"/>
        <v>2839.9719999999979</v>
      </c>
    </row>
    <row r="547" spans="1:15" x14ac:dyDescent="0.3">
      <c r="A547" s="5" t="s">
        <v>1011</v>
      </c>
      <c r="B547" s="20">
        <v>360</v>
      </c>
      <c r="C547" s="21">
        <v>77772.554999999993</v>
      </c>
      <c r="D547" s="18">
        <f t="shared" si="24"/>
        <v>77772.554999999993</v>
      </c>
      <c r="E547" s="21">
        <f t="shared" si="25"/>
        <v>73883.927249999993</v>
      </c>
      <c r="F547" s="18">
        <v>1</v>
      </c>
      <c r="G547" s="23" t="s">
        <v>1012</v>
      </c>
      <c r="H547" s="22" t="s">
        <v>1033</v>
      </c>
      <c r="I547" s="22" t="s">
        <v>1039</v>
      </c>
      <c r="J547" s="22" t="s">
        <v>1436</v>
      </c>
      <c r="K547" s="11" t="s">
        <v>1467</v>
      </c>
      <c r="M547" s="17">
        <f>IFERROR(
IF(
$A547="","",
(VLOOKUP($G547,'nuevos productoss'!$A:$E,4,0))
),$C547)</f>
        <v>76367.555999999997</v>
      </c>
      <c r="N547" s="17">
        <f>IFERROR(
IF(
$A547="","",
(VLOOKUP($G547,'nuevos productoss'!$A:$E,5,0))
),$C547)</f>
        <v>64718.328000000001</v>
      </c>
      <c r="O547" s="17">
        <f t="shared" si="26"/>
        <v>11649.227999999996</v>
      </c>
    </row>
    <row r="548" spans="1:15" x14ac:dyDescent="0.3">
      <c r="B548" s="20"/>
      <c r="C548" s="21"/>
      <c r="D548" s="18">
        <f t="shared" si="24"/>
        <v>0</v>
      </c>
      <c r="E548" s="21" t="str">
        <f t="shared" si="25"/>
        <v/>
      </c>
      <c r="F548" s="18"/>
      <c r="G548" s="23"/>
      <c r="H548" s="22" t="s">
        <v>1865</v>
      </c>
      <c r="I548" s="22" t="s">
        <v>1865</v>
      </c>
      <c r="J548" s="22" t="s">
        <v>1865</v>
      </c>
      <c r="K548" s="11" t="s">
        <v>1467</v>
      </c>
      <c r="M548" s="17" t="str">
        <f>IFERROR(
IF(
$A548="","",
(VLOOKUP($G548,'nuevos productoss'!$A:$E,4,0))
),$C548)</f>
        <v/>
      </c>
      <c r="N548" s="17" t="str">
        <f>IFERROR(
IF(
$A548="","",
(VLOOKUP($G548,'nuevos productoss'!$A:$E,5,0))
),$C548)</f>
        <v/>
      </c>
      <c r="O548" s="17">
        <f t="shared" si="26"/>
        <v>0</v>
      </c>
    </row>
    <row r="549" spans="1:15" x14ac:dyDescent="0.3">
      <c r="B549" s="20"/>
      <c r="C549" s="21"/>
      <c r="D549" s="18">
        <f t="shared" si="24"/>
        <v>0</v>
      </c>
      <c r="E549" s="21" t="str">
        <f t="shared" si="25"/>
        <v/>
      </c>
      <c r="F549" s="18"/>
      <c r="G549" s="23"/>
      <c r="H549" s="22" t="s">
        <v>1865</v>
      </c>
      <c r="I549" s="22" t="s">
        <v>1865</v>
      </c>
      <c r="J549" s="22" t="s">
        <v>1865</v>
      </c>
      <c r="K549" s="11" t="s">
        <v>1467</v>
      </c>
      <c r="M549" s="17" t="str">
        <f>IFERROR(
IF(
$A549="","",
(VLOOKUP($G549,'nuevos productoss'!$A:$E,4,0))
),$C549)</f>
        <v/>
      </c>
      <c r="N549" s="17" t="str">
        <f>IFERROR(
IF(
$A549="","",
(VLOOKUP($G549,'nuevos productoss'!$A:$E,5,0))
),$C549)</f>
        <v/>
      </c>
      <c r="O549" s="17">
        <f t="shared" si="26"/>
        <v>0</v>
      </c>
    </row>
    <row r="550" spans="1:15" x14ac:dyDescent="0.3">
      <c r="B550" s="20"/>
      <c r="C550" s="21"/>
      <c r="D550" s="18">
        <f t="shared" si="24"/>
        <v>0</v>
      </c>
      <c r="E550" s="21" t="str">
        <f t="shared" si="25"/>
        <v/>
      </c>
      <c r="F550" s="18"/>
      <c r="G550" s="23"/>
      <c r="H550" s="22" t="s">
        <v>1865</v>
      </c>
      <c r="I550" s="22" t="s">
        <v>1865</v>
      </c>
      <c r="J550" s="22" t="s">
        <v>1865</v>
      </c>
      <c r="K550" s="11" t="s">
        <v>1467</v>
      </c>
      <c r="M550" s="17" t="str">
        <f>IFERROR(
IF(
$A550="","",
(VLOOKUP($G550,'nuevos productoss'!$A:$E,4,0))
),$C550)</f>
        <v/>
      </c>
      <c r="N550" s="17" t="str">
        <f>IFERROR(
IF(
$A550="","",
(VLOOKUP($G550,'nuevos productoss'!$A:$E,5,0))
),$C550)</f>
        <v/>
      </c>
      <c r="O550" s="17">
        <f t="shared" si="26"/>
        <v>0</v>
      </c>
    </row>
    <row r="551" spans="1:15" x14ac:dyDescent="0.3">
      <c r="B551" s="20"/>
      <c r="C551" s="21"/>
      <c r="D551" s="18">
        <f t="shared" si="24"/>
        <v>0</v>
      </c>
      <c r="E551" s="21" t="str">
        <f t="shared" si="25"/>
        <v/>
      </c>
      <c r="F551" s="18"/>
      <c r="G551" s="23"/>
      <c r="H551" s="22" t="s">
        <v>1865</v>
      </c>
      <c r="I551" s="22" t="s">
        <v>1865</v>
      </c>
      <c r="J551" s="22" t="s">
        <v>1865</v>
      </c>
      <c r="K551" s="11" t="s">
        <v>1467</v>
      </c>
      <c r="M551" s="17" t="str">
        <f>IFERROR(
IF(
$A551="","",
(VLOOKUP($G551,'nuevos productoss'!$A:$E,4,0))
),$C551)</f>
        <v/>
      </c>
      <c r="N551" s="17" t="str">
        <f>IFERROR(
IF(
$A551="","",
(VLOOKUP($G551,'nuevos productoss'!$A:$E,5,0))
),$C551)</f>
        <v/>
      </c>
      <c r="O551" s="17">
        <f t="shared" si="26"/>
        <v>0</v>
      </c>
    </row>
    <row r="552" spans="1:15" x14ac:dyDescent="0.3">
      <c r="B552" s="20"/>
      <c r="C552" s="21"/>
      <c r="D552" s="18">
        <f t="shared" si="24"/>
        <v>0</v>
      </c>
      <c r="E552" s="21" t="str">
        <f t="shared" si="25"/>
        <v/>
      </c>
      <c r="F552" s="18"/>
      <c r="G552" s="23"/>
      <c r="H552" s="22" t="s">
        <v>1865</v>
      </c>
      <c r="I552" s="22" t="s">
        <v>1865</v>
      </c>
      <c r="J552" s="22" t="s">
        <v>1865</v>
      </c>
      <c r="K552" s="11" t="s">
        <v>1467</v>
      </c>
      <c r="M552" s="17" t="str">
        <f>IFERROR(
IF(
$A552="","",
(VLOOKUP($G552,'nuevos productoss'!$A:$E,4,0))
),$C552)</f>
        <v/>
      </c>
      <c r="N552" s="17" t="str">
        <f>IFERROR(
IF(
$A552="","",
(VLOOKUP($G552,'nuevos productoss'!$A:$E,5,0))
),$C552)</f>
        <v/>
      </c>
      <c r="O552" s="17">
        <f t="shared" si="26"/>
        <v>0</v>
      </c>
    </row>
    <row r="553" spans="1:15" x14ac:dyDescent="0.3">
      <c r="B553" s="20"/>
      <c r="C553" s="21"/>
      <c r="D553" s="18">
        <f t="shared" si="24"/>
        <v>0</v>
      </c>
      <c r="E553" s="21" t="str">
        <f t="shared" si="25"/>
        <v/>
      </c>
      <c r="F553" s="18"/>
      <c r="G553" s="23"/>
      <c r="H553" s="22" t="s">
        <v>1865</v>
      </c>
      <c r="I553" s="22" t="s">
        <v>1865</v>
      </c>
      <c r="J553" s="22" t="s">
        <v>1865</v>
      </c>
      <c r="K553" s="11" t="s">
        <v>1467</v>
      </c>
      <c r="M553" s="17" t="str">
        <f>IFERROR(
IF(
$A553="","",
(VLOOKUP($G553,'nuevos productoss'!$A:$E,4,0))
),$C553)</f>
        <v/>
      </c>
      <c r="N553" s="17" t="str">
        <f>IFERROR(
IF(
$A553="","",
(VLOOKUP($G553,'nuevos productoss'!$A:$E,5,0))
),$C553)</f>
        <v/>
      </c>
      <c r="O553" s="17">
        <f t="shared" si="26"/>
        <v>0</v>
      </c>
    </row>
    <row r="554" spans="1:15" x14ac:dyDescent="0.3">
      <c r="A554" s="5" t="s">
        <v>1013</v>
      </c>
      <c r="B554" s="20">
        <v>360</v>
      </c>
      <c r="C554" s="21">
        <v>311090.36700000003</v>
      </c>
      <c r="D554" s="18">
        <f t="shared" si="24"/>
        <v>311090.36700000003</v>
      </c>
      <c r="E554" s="21">
        <f t="shared" si="25"/>
        <v>295535.84865</v>
      </c>
      <c r="F554" s="18">
        <v>1</v>
      </c>
      <c r="G554" s="23" t="s">
        <v>1014</v>
      </c>
      <c r="H554" s="22" t="s">
        <v>1033</v>
      </c>
      <c r="I554" s="22" t="s">
        <v>1040</v>
      </c>
      <c r="J554" s="22" t="s">
        <v>1437</v>
      </c>
      <c r="K554" s="11" t="s">
        <v>1467</v>
      </c>
      <c r="M554" s="17">
        <f>IFERROR(
IF(
$A554="","",
(VLOOKUP($G554,'nuevos productoss'!$A:$E,4,0))
),$C554)</f>
        <v>305376.39199999999</v>
      </c>
      <c r="N554" s="17">
        <f>IFERROR(
IF(
$A554="","",
(VLOOKUP($G554,'nuevos productoss'!$A:$E,5,0))
),$C554)</f>
        <v>258793.54</v>
      </c>
      <c r="O554" s="17">
        <f t="shared" si="26"/>
        <v>46582.851999999984</v>
      </c>
    </row>
    <row r="555" spans="1:15" x14ac:dyDescent="0.3">
      <c r="A555" s="5" t="s">
        <v>1015</v>
      </c>
      <c r="B555" s="20">
        <v>360</v>
      </c>
      <c r="C555" s="21">
        <v>612608.68200000003</v>
      </c>
      <c r="D555" s="18">
        <f t="shared" si="24"/>
        <v>612608.68200000003</v>
      </c>
      <c r="E555" s="21">
        <f t="shared" si="25"/>
        <v>581978.24789999996</v>
      </c>
      <c r="F555" s="18">
        <v>1</v>
      </c>
      <c r="G555" s="23" t="s">
        <v>1016</v>
      </c>
      <c r="H555" s="22" t="s">
        <v>1033</v>
      </c>
      <c r="I555" s="22" t="s">
        <v>1040</v>
      </c>
      <c r="J555" s="22" t="s">
        <v>1438</v>
      </c>
      <c r="K555" s="11" t="s">
        <v>1467</v>
      </c>
      <c r="M555" s="17">
        <f>IFERROR(
IF(
$A555="","",
(VLOOKUP($G555,'nuevos productoss'!$A:$E,4,0))
),$C555)</f>
        <v>601356.70799999998</v>
      </c>
      <c r="N555" s="17">
        <f>IFERROR(
IF(
$A555="","",
(VLOOKUP($G555,'nuevos productoss'!$A:$E,5,0))
),$C555)</f>
        <v>509624.38400000002</v>
      </c>
      <c r="O555" s="17">
        <f t="shared" si="26"/>
        <v>91732.323999999964</v>
      </c>
    </row>
    <row r="556" spans="1:15" x14ac:dyDescent="0.3">
      <c r="A556" s="5" t="s">
        <v>1017</v>
      </c>
      <c r="B556" s="20">
        <v>360</v>
      </c>
      <c r="C556" s="21">
        <v>835198.58100000001</v>
      </c>
      <c r="D556" s="18">
        <f t="shared" si="24"/>
        <v>835198.58100000001</v>
      </c>
      <c r="E556" s="21">
        <f t="shared" si="25"/>
        <v>793438.65194999997</v>
      </c>
      <c r="F556" s="18">
        <v>1</v>
      </c>
      <c r="G556" s="23" t="s">
        <v>1018</v>
      </c>
      <c r="H556" s="22" t="s">
        <v>1033</v>
      </c>
      <c r="I556" s="22" t="s">
        <v>1039</v>
      </c>
      <c r="J556" s="22" t="s">
        <v>1439</v>
      </c>
      <c r="K556" s="11" t="s">
        <v>1467</v>
      </c>
      <c r="M556" s="17">
        <f>IFERROR(
IF(
$A556="","",
(VLOOKUP($G556,'nuevos productoss'!$A:$E,4,0))
),$C556)</f>
        <v>819798.196</v>
      </c>
      <c r="N556" s="17">
        <f>IFERROR(
IF(
$A556="","",
(VLOOKUP($G556,'nuevos productoss'!$A:$E,5,0))
),$C556)</f>
        <v>694744.26399999997</v>
      </c>
      <c r="O556" s="17">
        <f t="shared" si="26"/>
        <v>125053.93200000003</v>
      </c>
    </row>
    <row r="557" spans="1:15" x14ac:dyDescent="0.3">
      <c r="A557" s="5" t="s">
        <v>1019</v>
      </c>
      <c r="B557" s="20">
        <v>360</v>
      </c>
      <c r="C557" s="21">
        <v>892143.88199999998</v>
      </c>
      <c r="D557" s="18">
        <f t="shared" si="24"/>
        <v>892143.88199999998</v>
      </c>
      <c r="E557" s="21">
        <f t="shared" si="25"/>
        <v>847536.6878999999</v>
      </c>
      <c r="F557" s="18">
        <v>1</v>
      </c>
      <c r="G557" s="23" t="s">
        <v>1020</v>
      </c>
      <c r="H557" s="22" t="s">
        <v>1033</v>
      </c>
      <c r="I557" s="22" t="s">
        <v>1039</v>
      </c>
      <c r="J557" s="22" t="s">
        <v>1440</v>
      </c>
      <c r="K557" s="11" t="s">
        <v>1467</v>
      </c>
      <c r="M557" s="17">
        <f>IFERROR(
IF(
$A557="","",
(VLOOKUP($G557,'nuevos productoss'!$A:$E,4,0))
),$C557)</f>
        <v>875693.652</v>
      </c>
      <c r="N557" s="17">
        <f>IFERROR(
IF(
$A557="","",
(VLOOKUP($G557,'nuevos productoss'!$A:$E,5,0))
),$C557)</f>
        <v>742113.29200000002</v>
      </c>
      <c r="O557" s="17">
        <f t="shared" si="26"/>
        <v>133580.35999999999</v>
      </c>
    </row>
    <row r="558" spans="1:15" x14ac:dyDescent="0.3">
      <c r="A558" s="5" t="s">
        <v>1021</v>
      </c>
      <c r="B558" s="20">
        <v>180</v>
      </c>
      <c r="C558" s="21">
        <v>33680.199000000001</v>
      </c>
      <c r="D558" s="18">
        <f t="shared" si="24"/>
        <v>33680.199000000001</v>
      </c>
      <c r="E558" s="21">
        <f t="shared" si="25"/>
        <v>31996.189049999997</v>
      </c>
      <c r="F558" s="18">
        <v>1</v>
      </c>
      <c r="G558" s="23" t="s">
        <v>1022</v>
      </c>
      <c r="H558" s="22" t="s">
        <v>1058</v>
      </c>
      <c r="I558" s="22" t="s">
        <v>1061</v>
      </c>
      <c r="J558" s="22" t="s">
        <v>1441</v>
      </c>
      <c r="K558" s="11" t="s">
        <v>1467</v>
      </c>
      <c r="M558" s="17">
        <f>IFERROR(
IF(
$A558="","",
(VLOOKUP($G558,'nuevos productoss'!$A:$E,4,0))
),$C558)</f>
        <v>33063.94</v>
      </c>
      <c r="N558" s="17">
        <f>IFERROR(
IF(
$A558="","",
(VLOOKUP($G558,'nuevos productoss'!$A:$E,5,0))
),$C558)</f>
        <v>28020.248</v>
      </c>
      <c r="O558" s="17">
        <f t="shared" si="26"/>
        <v>5043.6920000000027</v>
      </c>
    </row>
    <row r="559" spans="1:15" x14ac:dyDescent="0.3">
      <c r="A559" s="5" t="s">
        <v>1023</v>
      </c>
      <c r="B559" s="20">
        <v>180</v>
      </c>
      <c r="C559" s="21">
        <v>20148.702000000001</v>
      </c>
      <c r="D559" s="18">
        <f t="shared" si="24"/>
        <v>20148.702000000001</v>
      </c>
      <c r="E559" s="21">
        <f t="shared" si="25"/>
        <v>19141.266899999999</v>
      </c>
      <c r="F559" s="18">
        <v>1</v>
      </c>
      <c r="G559" s="23" t="s">
        <v>1024</v>
      </c>
      <c r="H559" s="22" t="s">
        <v>1058</v>
      </c>
      <c r="I559" s="22" t="s">
        <v>1061</v>
      </c>
      <c r="J559" s="22" t="s">
        <v>1442</v>
      </c>
      <c r="K559" s="11" t="s">
        <v>1467</v>
      </c>
      <c r="M559" s="17">
        <f>IFERROR(
IF(
$A559="","",
(VLOOKUP($G559,'nuevos productoss'!$A:$E,4,0))
),$C559)</f>
        <v>19777.092000000001</v>
      </c>
      <c r="N559" s="17">
        <f>IFERROR(
IF(
$A559="","",
(VLOOKUP($G559,'nuevos productoss'!$A:$E,5,0))
),$C559)</f>
        <v>16760.259999999998</v>
      </c>
      <c r="O559" s="17">
        <f t="shared" si="26"/>
        <v>3016.8320000000022</v>
      </c>
    </row>
    <row r="560" spans="1:15" x14ac:dyDescent="0.3">
      <c r="B560" s="20"/>
      <c r="C560" s="21"/>
      <c r="D560" s="18">
        <f t="shared" si="24"/>
        <v>0</v>
      </c>
      <c r="E560" s="21" t="str">
        <f t="shared" si="25"/>
        <v/>
      </c>
      <c r="F560" s="18"/>
      <c r="G560" s="23"/>
      <c r="H560" s="22" t="str">
        <f>IFERROR(
(IF($A560="","",
 (
VLOOKUP(TRIM($G560),categorias!$A:$E,3,0)
 )
      )
),"VEEER")</f>
        <v/>
      </c>
      <c r="I560" s="22" t="str">
        <f>IFERROR(
(IF($A560="","",
 (
VLOOKUP(TRIM($G560),categorias!$A:$E,4,0)
 )
      )
),"VEEER")</f>
        <v/>
      </c>
      <c r="J560" s="22" t="str">
        <f>IFERROR(
(IF($A560="","",
 (
VLOOKUP(TRIM($G560),categorias!$A:$E,5,0)
 )
      )
),"VEEER")</f>
        <v/>
      </c>
      <c r="K560" s="11"/>
      <c r="M560" s="17" t="str">
        <f>IFERROR(
IF(
$A560="","",
(VLOOKUP($G560,'nuevos productoss'!$A:$E,4,0))
),$C560)</f>
        <v/>
      </c>
      <c r="N560" s="17" t="str">
        <f>IFERROR(
IF(
$A560="","",
(VLOOKUP($G560,'nuevos productoss'!$A:$E,5,0))
),$C560)</f>
        <v/>
      </c>
      <c r="O560" s="17">
        <f t="shared" si="26"/>
        <v>0</v>
      </c>
    </row>
    <row r="561" spans="1:15" x14ac:dyDescent="0.3">
      <c r="A561" s="5" t="s">
        <v>1870</v>
      </c>
      <c r="B561" s="20">
        <v>0</v>
      </c>
      <c r="C561" s="21">
        <v>10554.028</v>
      </c>
      <c r="D561" s="18">
        <f t="shared" si="24"/>
        <v>10554.028</v>
      </c>
      <c r="E561" s="21">
        <f t="shared" si="25"/>
        <v>10026.3266</v>
      </c>
      <c r="F561" s="18">
        <v>1</v>
      </c>
      <c r="G561" s="23" t="s">
        <v>1871</v>
      </c>
      <c r="H561" s="22" t="s">
        <v>1046</v>
      </c>
      <c r="I561" s="22" t="s">
        <v>1050</v>
      </c>
      <c r="J561" s="22" t="s">
        <v>1947</v>
      </c>
      <c r="K561" s="11" t="s">
        <v>1942</v>
      </c>
      <c r="M561" s="17">
        <f>IFERROR(
IF(
$A561="","",
(VLOOKUP($G561,'nuevos productoss'!$A:$E,4,0))
),$C561)</f>
        <v>10554.028</v>
      </c>
      <c r="N561" s="17">
        <f>IFERROR(
IF(
$A561="","",
(VLOOKUP($G561,'nuevos productoss'!$A:$E,5,0))
),$C561)</f>
        <v>8944.0840000000007</v>
      </c>
      <c r="O561" s="17">
        <f t="shared" si="26"/>
        <v>1609.9439999999995</v>
      </c>
    </row>
    <row r="562" spans="1:15" x14ac:dyDescent="0.3">
      <c r="A562" s="5" t="s">
        <v>1872</v>
      </c>
      <c r="B562" s="20">
        <v>0</v>
      </c>
      <c r="C562" s="21">
        <v>5874.7120000000004</v>
      </c>
      <c r="D562" s="18">
        <f t="shared" si="24"/>
        <v>5874.7120000000004</v>
      </c>
      <c r="E562" s="21">
        <f t="shared" si="25"/>
        <v>5580.9764000000005</v>
      </c>
      <c r="F562" s="18">
        <v>1</v>
      </c>
      <c r="G562" s="23" t="s">
        <v>1873</v>
      </c>
      <c r="H562" s="22" t="s">
        <v>1046</v>
      </c>
      <c r="I562" s="22" t="s">
        <v>1050</v>
      </c>
      <c r="J562" s="22" t="s">
        <v>1948</v>
      </c>
      <c r="K562" s="11" t="s">
        <v>1942</v>
      </c>
      <c r="M562" s="17">
        <f>IFERROR(
IF(
$A562="","",
(VLOOKUP($G562,'nuevos productoss'!$A:$E,4,0))
),$C562)</f>
        <v>5874.7120000000004</v>
      </c>
      <c r="N562" s="17">
        <f>IFERROR(
IF(
$A562="","",
(VLOOKUP($G562,'nuevos productoss'!$A:$E,5,0))
),$C562)</f>
        <v>4978.5720000000001</v>
      </c>
      <c r="O562" s="17">
        <f t="shared" si="26"/>
        <v>896.14000000000033</v>
      </c>
    </row>
    <row r="563" spans="1:15" x14ac:dyDescent="0.3">
      <c r="A563" s="5" t="s">
        <v>1874</v>
      </c>
      <c r="B563" s="20">
        <v>0</v>
      </c>
      <c r="C563" s="21">
        <v>19582.62</v>
      </c>
      <c r="D563" s="18">
        <f t="shared" si="24"/>
        <v>19582.62</v>
      </c>
      <c r="E563" s="21">
        <f t="shared" si="25"/>
        <v>18603.488999999998</v>
      </c>
      <c r="F563" s="18">
        <v>1</v>
      </c>
      <c r="G563" s="23" t="s">
        <v>1875</v>
      </c>
      <c r="H563" s="22" t="s">
        <v>1046</v>
      </c>
      <c r="I563" s="22" t="s">
        <v>1050</v>
      </c>
      <c r="J563" s="22" t="s">
        <v>1949</v>
      </c>
      <c r="K563" s="11" t="s">
        <v>1942</v>
      </c>
      <c r="M563" s="17">
        <f>IFERROR(
IF(
$A563="","",
(VLOOKUP($G563,'nuevos productoss'!$A:$E,4,0))
),$C563)</f>
        <v>19582.62</v>
      </c>
      <c r="N563" s="17">
        <f>IFERROR(
IF(
$A563="","",
(VLOOKUP($G563,'nuevos productoss'!$A:$E,5,0))
),$C563)</f>
        <v>16595.387999999999</v>
      </c>
      <c r="O563" s="17">
        <f t="shared" si="26"/>
        <v>2987.232</v>
      </c>
    </row>
    <row r="564" spans="1:15" x14ac:dyDescent="0.3">
      <c r="A564" s="5" t="s">
        <v>1879</v>
      </c>
      <c r="B564" s="20">
        <v>15</v>
      </c>
      <c r="C564" s="21">
        <v>9793.0120000000006</v>
      </c>
      <c r="D564" s="18">
        <f t="shared" si="24"/>
        <v>9793.0120000000006</v>
      </c>
      <c r="E564" s="21">
        <f t="shared" si="25"/>
        <v>9303.3613999999998</v>
      </c>
      <c r="F564" s="18">
        <v>1</v>
      </c>
      <c r="G564" s="23" t="s">
        <v>1880</v>
      </c>
      <c r="H564" s="22" t="s">
        <v>1058</v>
      </c>
      <c r="I564" s="22" t="s">
        <v>1026</v>
      </c>
      <c r="J564" s="22" t="s">
        <v>1950</v>
      </c>
      <c r="K564" s="11" t="s">
        <v>1942</v>
      </c>
      <c r="M564" s="17">
        <f>IFERROR(
IF(
$A564="","",
(VLOOKUP($G564,'nuevos productoss'!$A:$E,4,0))
),$C564)</f>
        <v>9793.0120000000006</v>
      </c>
      <c r="N564" s="17">
        <f>IFERROR(
IF(
$A564="","",
(VLOOKUP($G564,'nuevos productoss'!$A:$E,5,0))
),$C564)</f>
        <v>8299.2479999999996</v>
      </c>
      <c r="O564" s="17">
        <f t="shared" si="26"/>
        <v>1493.764000000001</v>
      </c>
    </row>
    <row r="565" spans="1:15" x14ac:dyDescent="0.3">
      <c r="A565" s="5" t="s">
        <v>71</v>
      </c>
      <c r="B565" s="20">
        <v>0</v>
      </c>
      <c r="C565" s="21">
        <v>10464.932000000001</v>
      </c>
      <c r="D565" s="18">
        <f t="shared" si="24"/>
        <v>10464.932000000001</v>
      </c>
      <c r="E565" s="21">
        <f t="shared" si="25"/>
        <v>9941.6854000000003</v>
      </c>
      <c r="F565" s="18">
        <v>1</v>
      </c>
      <c r="G565" s="23" t="s">
        <v>1894</v>
      </c>
      <c r="H565" s="22" t="s">
        <v>1046</v>
      </c>
      <c r="I565" s="22" t="s">
        <v>1050</v>
      </c>
      <c r="J565" s="22" t="s">
        <v>1104</v>
      </c>
      <c r="K565" s="11" t="s">
        <v>1942</v>
      </c>
      <c r="M565" s="17">
        <f>IFERROR(
IF(
$A565="","",
(VLOOKUP($G565,'nuevos productoss'!$A:$E,4,0))
),$C565)</f>
        <v>10464.932000000001</v>
      </c>
      <c r="N565" s="17">
        <f>IFERROR(
IF(
$A565="","",
(VLOOKUP($G565,'nuevos productoss'!$A:$E,5,0))
),$C565)</f>
        <v>8868.6039999999994</v>
      </c>
      <c r="O565" s="17">
        <f t="shared" si="26"/>
        <v>1596.3280000000013</v>
      </c>
    </row>
    <row r="566" spans="1:15" x14ac:dyDescent="0.3">
      <c r="A566" s="5" t="s">
        <v>1895</v>
      </c>
      <c r="B566" s="20">
        <v>0</v>
      </c>
      <c r="C566" s="21">
        <v>27093.62</v>
      </c>
      <c r="D566" s="18">
        <f t="shared" si="24"/>
        <v>27093.62</v>
      </c>
      <c r="E566" s="21">
        <f t="shared" si="25"/>
        <v>25738.938999999998</v>
      </c>
      <c r="F566" s="18">
        <v>1</v>
      </c>
      <c r="G566" s="23" t="s">
        <v>1896</v>
      </c>
      <c r="H566" s="22" t="s">
        <v>1058</v>
      </c>
      <c r="I566" s="22" t="s">
        <v>1065</v>
      </c>
      <c r="J566" s="22" t="s">
        <v>1951</v>
      </c>
      <c r="K566" s="11" t="s">
        <v>1942</v>
      </c>
      <c r="M566" s="17">
        <f>IFERROR(
IF(
$A566="","",
(VLOOKUP($G566,'nuevos productoss'!$A:$E,4,0))
),$C566)</f>
        <v>27093.62</v>
      </c>
      <c r="N566" s="17">
        <f>IFERROR(
IF(
$A566="","",
(VLOOKUP($G566,'nuevos productoss'!$A:$E,5,0))
),$C566)</f>
        <v>22960.720000000001</v>
      </c>
      <c r="O566" s="17">
        <f t="shared" si="26"/>
        <v>4132.8999999999978</v>
      </c>
    </row>
    <row r="567" spans="1:15" x14ac:dyDescent="0.3">
      <c r="A567" s="5" t="s">
        <v>1897</v>
      </c>
      <c r="B567" s="20">
        <v>1060</v>
      </c>
      <c r="C567" s="21">
        <v>142117.44399999999</v>
      </c>
      <c r="D567" s="18">
        <f t="shared" si="24"/>
        <v>142117.44399999999</v>
      </c>
      <c r="E567" s="21">
        <f t="shared" si="25"/>
        <v>135011.57179999998</v>
      </c>
      <c r="F567" s="18">
        <v>1</v>
      </c>
      <c r="G567" s="23" t="s">
        <v>1898</v>
      </c>
      <c r="H567" s="22" t="s">
        <v>1033</v>
      </c>
      <c r="I567" s="22" t="s">
        <v>1042</v>
      </c>
      <c r="J567" s="22" t="s">
        <v>1952</v>
      </c>
      <c r="K567" s="11" t="s">
        <v>1942</v>
      </c>
      <c r="M567" s="17">
        <f>IFERROR(
IF(
$A567="","",
(VLOOKUP($G567,'nuevos productoss'!$A:$E,4,0))
),$C567)</f>
        <v>142117.44399999999</v>
      </c>
      <c r="N567" s="17">
        <f>IFERROR(
IF(
$A567="","",
(VLOOKUP($G567,'nuevos productoss'!$A:$E,5,0))
),$C567)</f>
        <v>120438.552</v>
      </c>
      <c r="O567" s="17">
        <f t="shared" si="26"/>
        <v>21678.891999999993</v>
      </c>
    </row>
    <row r="568" spans="1:15" x14ac:dyDescent="0.3">
      <c r="A568" s="5" t="s">
        <v>1901</v>
      </c>
      <c r="B568" s="20">
        <v>360</v>
      </c>
      <c r="C568" s="21">
        <v>74434.232000000004</v>
      </c>
      <c r="D568" s="18">
        <f t="shared" si="24"/>
        <v>74434.232000000004</v>
      </c>
      <c r="E568" s="21">
        <f t="shared" si="25"/>
        <v>70712.520399999994</v>
      </c>
      <c r="F568" s="18">
        <v>1</v>
      </c>
      <c r="G568" s="23" t="s">
        <v>1902</v>
      </c>
      <c r="H568" s="22" t="s">
        <v>1033</v>
      </c>
      <c r="I568" s="22" t="s">
        <v>1034</v>
      </c>
      <c r="J568" s="22" t="s">
        <v>1953</v>
      </c>
      <c r="K568" s="11" t="s">
        <v>1942</v>
      </c>
      <c r="M568" s="17">
        <f>IFERROR(
IF(
$A568="","",
(VLOOKUP($G568,'nuevos productoss'!$A:$E,4,0))
),$C568)</f>
        <v>74434.232000000004</v>
      </c>
      <c r="N568" s="17">
        <f>IFERROR(
IF(
$A568="","",
(VLOOKUP($G568,'nuevos productoss'!$A:$E,5,0))
),$C568)</f>
        <v>63079.968000000001</v>
      </c>
      <c r="O568" s="17">
        <f t="shared" si="26"/>
        <v>11354.264000000003</v>
      </c>
    </row>
    <row r="569" spans="1:15" x14ac:dyDescent="0.3">
      <c r="A569" s="5" t="s">
        <v>1899</v>
      </c>
      <c r="B569" s="20">
        <v>360</v>
      </c>
      <c r="C569" s="21">
        <v>69998.524000000005</v>
      </c>
      <c r="D569" s="18">
        <f t="shared" si="24"/>
        <v>69998.524000000005</v>
      </c>
      <c r="E569" s="21">
        <f t="shared" si="25"/>
        <v>66498.597800000003</v>
      </c>
      <c r="F569" s="18">
        <v>1</v>
      </c>
      <c r="G569" s="23" t="s">
        <v>1900</v>
      </c>
      <c r="H569" s="22" t="s">
        <v>1033</v>
      </c>
      <c r="I569" s="22" t="s">
        <v>1034</v>
      </c>
      <c r="J569" s="22" t="s">
        <v>1954</v>
      </c>
      <c r="K569" s="11" t="s">
        <v>1942</v>
      </c>
      <c r="M569" s="17">
        <f>IFERROR(
IF(
$A569="","",
(VLOOKUP($G569,'nuevos productoss'!$A:$E,4,0))
),$C569)</f>
        <v>69998.524000000005</v>
      </c>
      <c r="N569" s="17">
        <f>IFERROR(
IF(
$A569="","",
(VLOOKUP($G569,'nuevos productoss'!$A:$E,5,0))
),$C569)</f>
        <v>59320.767999999996</v>
      </c>
      <c r="O569" s="17">
        <f t="shared" si="26"/>
        <v>10677.756000000008</v>
      </c>
    </row>
    <row r="570" spans="1:15" x14ac:dyDescent="0.3">
      <c r="A570" s="5" t="s">
        <v>1905</v>
      </c>
      <c r="B570" s="20">
        <v>360</v>
      </c>
      <c r="C570" s="21">
        <v>113395.67600000001</v>
      </c>
      <c r="D570" s="18">
        <f t="shared" si="24"/>
        <v>113395.67600000001</v>
      </c>
      <c r="E570" s="21">
        <f t="shared" si="25"/>
        <v>107725.8922</v>
      </c>
      <c r="F570" s="18">
        <v>1</v>
      </c>
      <c r="G570" s="23" t="s">
        <v>1906</v>
      </c>
      <c r="H570" s="22" t="s">
        <v>1033</v>
      </c>
      <c r="I570" s="22" t="s">
        <v>1034</v>
      </c>
      <c r="J570" s="22" t="s">
        <v>1955</v>
      </c>
      <c r="K570" s="11" t="s">
        <v>1942</v>
      </c>
      <c r="M570" s="17">
        <f>IFERROR(
IF(
$A570="","",
(VLOOKUP($G570,'nuevos productoss'!$A:$E,4,0))
),$C570)</f>
        <v>113395.67600000001</v>
      </c>
      <c r="N570" s="17">
        <f>IFERROR(
IF(
$A570="","",
(VLOOKUP($G570,'nuevos productoss'!$A:$E,5,0))
),$C570)</f>
        <v>96098.028000000006</v>
      </c>
      <c r="O570" s="17">
        <f t="shared" si="26"/>
        <v>17297.648000000001</v>
      </c>
    </row>
    <row r="571" spans="1:15" x14ac:dyDescent="0.3">
      <c r="A571" s="5" t="s">
        <v>1909</v>
      </c>
      <c r="B571" s="20">
        <v>360</v>
      </c>
      <c r="C571" s="21">
        <v>215696.53200000001</v>
      </c>
      <c r="D571" s="18">
        <f t="shared" si="24"/>
        <v>215696.53200000001</v>
      </c>
      <c r="E571" s="21">
        <f t="shared" si="25"/>
        <v>204911.70540000001</v>
      </c>
      <c r="F571" s="18">
        <v>1</v>
      </c>
      <c r="G571" s="23" t="s">
        <v>1910</v>
      </c>
      <c r="H571" s="22" t="s">
        <v>1033</v>
      </c>
      <c r="I571" s="22" t="s">
        <v>1034</v>
      </c>
      <c r="K571" s="11" t="s">
        <v>1942</v>
      </c>
      <c r="M571" s="17">
        <f>IFERROR(
IF(
$A571="","",
(VLOOKUP($G571,'nuevos productoss'!$A:$E,4,0))
),$C571)</f>
        <v>215696.53200000001</v>
      </c>
      <c r="N571" s="17">
        <f>IFERROR(
IF(
$A571="","",
(VLOOKUP($G571,'nuevos productoss'!$A:$E,5,0))
),$C571)</f>
        <v>182793.764</v>
      </c>
      <c r="O571" s="17">
        <f t="shared" si="26"/>
        <v>32902.768000000011</v>
      </c>
    </row>
    <row r="572" spans="1:15" x14ac:dyDescent="0.3">
      <c r="A572" s="5" t="s">
        <v>1903</v>
      </c>
      <c r="B572" s="20">
        <v>360</v>
      </c>
      <c r="C572" s="21">
        <v>65211.167999999998</v>
      </c>
      <c r="D572" s="18">
        <f t="shared" si="24"/>
        <v>65211.167999999998</v>
      </c>
      <c r="E572" s="21">
        <f t="shared" si="25"/>
        <v>61950.609599999996</v>
      </c>
      <c r="F572" s="18">
        <v>1</v>
      </c>
      <c r="G572" s="23" t="s">
        <v>1904</v>
      </c>
      <c r="H572" s="22" t="s">
        <v>1033</v>
      </c>
      <c r="I572" s="22" t="s">
        <v>1034</v>
      </c>
      <c r="J572" s="22" t="s">
        <v>1956</v>
      </c>
      <c r="K572" s="11" t="s">
        <v>1942</v>
      </c>
      <c r="M572" s="17">
        <f>IFERROR(
IF(
$A572="","",
(VLOOKUP($G572,'nuevos productoss'!$A:$E,4,0))
),$C572)</f>
        <v>65211.167999999998</v>
      </c>
      <c r="N572" s="17">
        <f>IFERROR(
IF(
$A572="","",
(VLOOKUP($G572,'nuevos productoss'!$A:$E,5,0))
),$C572)</f>
        <v>55263.792000000001</v>
      </c>
      <c r="O572" s="17">
        <f t="shared" si="26"/>
        <v>9947.3759999999966</v>
      </c>
    </row>
    <row r="573" spans="1:15" x14ac:dyDescent="0.3">
      <c r="A573" s="5" t="s">
        <v>1907</v>
      </c>
      <c r="B573" s="20">
        <v>360</v>
      </c>
      <c r="C573" s="21">
        <v>123153.61199999999</v>
      </c>
      <c r="D573" s="18">
        <f t="shared" si="24"/>
        <v>123153.61199999999</v>
      </c>
      <c r="E573" s="21">
        <f t="shared" si="25"/>
        <v>116995.93139999999</v>
      </c>
      <c r="F573" s="18">
        <v>1</v>
      </c>
      <c r="G573" s="23" t="s">
        <v>1908</v>
      </c>
      <c r="H573" s="22" t="s">
        <v>1033</v>
      </c>
      <c r="I573" s="22" t="s">
        <v>1034</v>
      </c>
      <c r="J573" s="22" t="s">
        <v>1957</v>
      </c>
      <c r="K573" s="11" t="s">
        <v>1942</v>
      </c>
      <c r="M573" s="17">
        <f>IFERROR(
IF(
$A573="","",
(VLOOKUP($G573,'nuevos productoss'!$A:$E,4,0))
),$C573)</f>
        <v>123153.61199999999</v>
      </c>
      <c r="N573" s="17">
        <f>IFERROR(
IF(
$A573="","",
(VLOOKUP($G573,'nuevos productoss'!$A:$E,5,0))
),$C573)</f>
        <v>104367.38</v>
      </c>
      <c r="O573" s="17">
        <f t="shared" si="26"/>
        <v>18786.231999999989</v>
      </c>
    </row>
    <row r="574" spans="1:15" x14ac:dyDescent="0.3">
      <c r="A574" s="5" t="s">
        <v>442</v>
      </c>
      <c r="B574" s="20">
        <v>90</v>
      </c>
      <c r="C574" s="21">
        <v>82907.676000000007</v>
      </c>
      <c r="D574" s="18">
        <f t="shared" si="24"/>
        <v>82907.676000000007</v>
      </c>
      <c r="E574" s="21">
        <f t="shared" si="25"/>
        <v>78762.292199999996</v>
      </c>
      <c r="F574" s="18">
        <v>1</v>
      </c>
      <c r="G574" s="23" t="s">
        <v>443</v>
      </c>
      <c r="H574" s="22" t="s">
        <v>1033</v>
      </c>
      <c r="I574" s="22" t="s">
        <v>1028</v>
      </c>
      <c r="J574" s="22" t="s">
        <v>1237</v>
      </c>
      <c r="K574" s="11" t="s">
        <v>1942</v>
      </c>
      <c r="M574" s="17">
        <f>IFERROR(
IF(
$A574="","",
(VLOOKUP($G574,'nuevos productoss'!$A:$E,4,0))
),$C574)</f>
        <v>82907.676000000007</v>
      </c>
      <c r="N574" s="17">
        <f>IFERROR(
IF(
$A574="","",
(VLOOKUP($G574,'nuevos productoss'!$A:$E,5,0))
),$C574)</f>
        <v>70260.78</v>
      </c>
      <c r="O574" s="17">
        <f t="shared" si="26"/>
        <v>12646.896000000008</v>
      </c>
    </row>
    <row r="575" spans="1:15" x14ac:dyDescent="0.3">
      <c r="A575" s="5" t="s">
        <v>1911</v>
      </c>
      <c r="B575" s="20">
        <v>90</v>
      </c>
      <c r="C575" s="21">
        <v>55271.784</v>
      </c>
      <c r="D575" s="18">
        <f t="shared" si="24"/>
        <v>55271.784</v>
      </c>
      <c r="E575" s="21">
        <f t="shared" si="25"/>
        <v>52508.194799999997</v>
      </c>
      <c r="F575" s="18">
        <v>1</v>
      </c>
      <c r="G575" s="23" t="s">
        <v>1912</v>
      </c>
      <c r="H575" s="22" t="s">
        <v>1033</v>
      </c>
      <c r="I575" s="22" t="s">
        <v>1028</v>
      </c>
      <c r="J575" s="22" t="s">
        <v>1958</v>
      </c>
      <c r="K575" s="11" t="s">
        <v>1942</v>
      </c>
      <c r="M575" s="17">
        <f>IFERROR(
IF(
$A575="","",
(VLOOKUP($G575,'nuevos productoss'!$A:$E,4,0))
),$C575)</f>
        <v>55271.784</v>
      </c>
      <c r="N575" s="17">
        <f>IFERROR(
IF(
$A575="","",
(VLOOKUP($G575,'nuevos productoss'!$A:$E,5,0))
),$C575)</f>
        <v>46840.52</v>
      </c>
      <c r="O575" s="17">
        <f t="shared" si="26"/>
        <v>8431.2640000000029</v>
      </c>
    </row>
    <row r="576" spans="1:15" x14ac:dyDescent="0.3">
      <c r="A576" s="5" t="s">
        <v>1913</v>
      </c>
      <c r="B576" s="20">
        <v>720</v>
      </c>
      <c r="C576" s="21">
        <v>132751.41200000001</v>
      </c>
      <c r="D576" s="18">
        <f t="shared" si="24"/>
        <v>132751.41200000001</v>
      </c>
      <c r="E576" s="21">
        <f t="shared" si="25"/>
        <v>126113.8414</v>
      </c>
      <c r="F576" s="18">
        <v>1</v>
      </c>
      <c r="G576" s="23" t="s">
        <v>1914</v>
      </c>
      <c r="H576" s="22" t="s">
        <v>1033</v>
      </c>
      <c r="I576" s="22" t="s">
        <v>1946</v>
      </c>
      <c r="J576" s="22" t="s">
        <v>1959</v>
      </c>
      <c r="K576" s="11" t="s">
        <v>1942</v>
      </c>
      <c r="M576" s="17">
        <f>IFERROR(
IF(
$A576="","",
(VLOOKUP($G576,'nuevos productoss'!$A:$E,4,0))
),$C576)</f>
        <v>132751.41200000001</v>
      </c>
      <c r="N576" s="17">
        <f>IFERROR(
IF(
$A576="","",
(VLOOKUP($G576,'nuevos productoss'!$A:$E,5,0))
),$C576)</f>
        <v>112501.164</v>
      </c>
      <c r="O576" s="17">
        <f t="shared" si="26"/>
        <v>20250.248000000007</v>
      </c>
    </row>
    <row r="577" spans="1:15" x14ac:dyDescent="0.3">
      <c r="A577" s="5" t="s">
        <v>1920</v>
      </c>
      <c r="B577" s="20">
        <v>180</v>
      </c>
      <c r="C577" s="21">
        <v>30867.175999999999</v>
      </c>
      <c r="D577" s="18">
        <f t="shared" si="24"/>
        <v>30867.175999999999</v>
      </c>
      <c r="E577" s="21">
        <f t="shared" si="25"/>
        <v>29323.817199999998</v>
      </c>
      <c r="F577" s="18">
        <v>1</v>
      </c>
      <c r="G577" s="23" t="s">
        <v>1921</v>
      </c>
      <c r="H577" s="22" t="s">
        <v>1033</v>
      </c>
      <c r="I577" s="22" t="s">
        <v>1036</v>
      </c>
      <c r="J577" s="22" t="s">
        <v>1960</v>
      </c>
      <c r="K577" s="11" t="s">
        <v>1942</v>
      </c>
      <c r="M577" s="17">
        <f>IFERROR(
IF(
$A577="","",
(VLOOKUP($G577,'nuevos productoss'!$A:$E,4,0))
),$C577)</f>
        <v>30867.175999999999</v>
      </c>
      <c r="N577" s="17">
        <f>IFERROR(
IF(
$A577="","",
(VLOOKUP($G577,'nuevos productoss'!$A:$E,5,0))
),$C577)</f>
        <v>26158.556</v>
      </c>
      <c r="O577" s="17">
        <f t="shared" si="26"/>
        <v>4708.619999999999</v>
      </c>
    </row>
    <row r="578" spans="1:15" x14ac:dyDescent="0.3">
      <c r="A578" s="5" t="s">
        <v>1915</v>
      </c>
      <c r="B578" s="20">
        <v>180</v>
      </c>
      <c r="C578" s="21">
        <v>204941.076</v>
      </c>
      <c r="D578" s="18">
        <f t="shared" si="24"/>
        <v>204941.076</v>
      </c>
      <c r="E578" s="21">
        <f t="shared" si="25"/>
        <v>194694.02219999998</v>
      </c>
      <c r="F578" s="18">
        <v>1</v>
      </c>
      <c r="G578" s="23" t="s">
        <v>1916</v>
      </c>
      <c r="H578" s="22" t="s">
        <v>1033</v>
      </c>
      <c r="I578" s="22" t="s">
        <v>1036</v>
      </c>
      <c r="J578" s="22" t="s">
        <v>1269</v>
      </c>
      <c r="K578" s="11" t="s">
        <v>1942</v>
      </c>
      <c r="M578" s="17">
        <f>IFERROR(
IF(
$A578="","",
(VLOOKUP($G578,'nuevos productoss'!$A:$E,4,0))
),$C578)</f>
        <v>204941.076</v>
      </c>
      <c r="N578" s="17">
        <f>IFERROR(
IF(
$A578="","",
(VLOOKUP($G578,'nuevos productoss'!$A:$E,5,0))
),$C578)</f>
        <v>173678.88800000001</v>
      </c>
      <c r="O578" s="17">
        <f t="shared" si="26"/>
        <v>31262.187999999995</v>
      </c>
    </row>
    <row r="579" spans="1:15" x14ac:dyDescent="0.3">
      <c r="A579" s="5" t="s">
        <v>1917</v>
      </c>
      <c r="B579" s="20">
        <v>180</v>
      </c>
      <c r="C579" s="21">
        <v>491413.13199999998</v>
      </c>
      <c r="D579" s="18">
        <f t="shared" ref="D579:D590" si="27">+C579</f>
        <v>491413.13199999998</v>
      </c>
      <c r="E579" s="21">
        <f t="shared" ref="E579:E590" si="28">IF(
A579="","",
C579*0.95)</f>
        <v>466842.47539999994</v>
      </c>
      <c r="F579" s="18">
        <v>1</v>
      </c>
      <c r="G579" s="23" t="s">
        <v>1918</v>
      </c>
      <c r="H579" s="22" t="s">
        <v>1033</v>
      </c>
      <c r="I579" s="22" t="s">
        <v>1036</v>
      </c>
      <c r="J579" s="22" t="s">
        <v>1961</v>
      </c>
      <c r="K579" s="11" t="s">
        <v>1942</v>
      </c>
      <c r="M579" s="17">
        <f>IFERROR(
IF(
$A579="","",
(VLOOKUP($G579,'nuevos productoss'!$A:$E,4,0))
),$C579)</f>
        <v>491413.13199999998</v>
      </c>
      <c r="N579" s="17">
        <f>IFERROR(
IF(
$A579="","",
(VLOOKUP($G579,'nuevos productoss'!$A:$E,5,0))
),$C579)</f>
        <v>416451.87199999997</v>
      </c>
      <c r="O579" s="17">
        <f t="shared" ref="O579:O590" si="29">IFERROR(M579-N579,0)</f>
        <v>74961.260000000009</v>
      </c>
    </row>
    <row r="580" spans="1:15" x14ac:dyDescent="0.3">
      <c r="A580" s="5" t="s">
        <v>1922</v>
      </c>
      <c r="B580" s="20">
        <v>3000</v>
      </c>
      <c r="C580" s="21">
        <v>122063.296</v>
      </c>
      <c r="D580" s="18">
        <f t="shared" si="27"/>
        <v>122063.296</v>
      </c>
      <c r="E580" s="21">
        <f t="shared" si="28"/>
        <v>115960.1312</v>
      </c>
      <c r="F580" s="18">
        <v>1</v>
      </c>
      <c r="G580" s="23" t="s">
        <v>1923</v>
      </c>
      <c r="H580" s="22" t="s">
        <v>1033</v>
      </c>
      <c r="I580" s="22" t="s">
        <v>1034</v>
      </c>
      <c r="J580" s="22" t="s">
        <v>1962</v>
      </c>
      <c r="K580" s="11" t="s">
        <v>1942</v>
      </c>
      <c r="M580" s="17">
        <f>IFERROR(
IF(
$A580="","",
(VLOOKUP($G580,'nuevos productoss'!$A:$E,4,0))
),$C580)</f>
        <v>122063.296</v>
      </c>
      <c r="N580" s="17">
        <f>IFERROR(
IF(
$A580="","",
(VLOOKUP($G580,'nuevos productoss'!$A:$E,5,0))
),$C580)</f>
        <v>103443.416</v>
      </c>
      <c r="O580" s="17">
        <f t="shared" si="29"/>
        <v>18619.880000000005</v>
      </c>
    </row>
    <row r="581" spans="1:15" x14ac:dyDescent="0.3">
      <c r="A581" s="5" t="s">
        <v>1925</v>
      </c>
      <c r="B581" s="20">
        <v>180</v>
      </c>
      <c r="C581" s="21">
        <v>7780.2120000000004</v>
      </c>
      <c r="D581" s="18">
        <f t="shared" si="27"/>
        <v>7780.2120000000004</v>
      </c>
      <c r="E581" s="21">
        <f t="shared" si="28"/>
        <v>7391.2013999999999</v>
      </c>
      <c r="F581" s="18">
        <v>1</v>
      </c>
      <c r="G581" s="23" t="s">
        <v>1926</v>
      </c>
      <c r="H581" s="22" t="s">
        <v>1033</v>
      </c>
      <c r="I581" s="22" t="s">
        <v>1034</v>
      </c>
      <c r="J581" s="22" t="s">
        <v>1963</v>
      </c>
      <c r="K581" s="11" t="s">
        <v>1942</v>
      </c>
      <c r="M581" s="17">
        <f>IFERROR(
IF(
$A581="","",
(VLOOKUP($G581,'nuevos productoss'!$A:$E,4,0))
),$C581)</f>
        <v>7780.2120000000004</v>
      </c>
      <c r="N581" s="17">
        <f>IFERROR(
IF(
$A581="","",
(VLOOKUP($G581,'nuevos productoss'!$A:$E,5,0))
),$C581)</f>
        <v>6593.4</v>
      </c>
      <c r="O581" s="17">
        <f t="shared" si="29"/>
        <v>1186.8120000000008</v>
      </c>
    </row>
    <row r="582" spans="1:15" x14ac:dyDescent="0.3">
      <c r="A582" s="5" t="s">
        <v>1927</v>
      </c>
      <c r="B582" s="20">
        <v>180</v>
      </c>
      <c r="C582" s="21">
        <v>8712.1679999999997</v>
      </c>
      <c r="D582" s="18">
        <f t="shared" si="27"/>
        <v>8712.1679999999997</v>
      </c>
      <c r="E582" s="21">
        <f t="shared" si="28"/>
        <v>8276.5595999999987</v>
      </c>
      <c r="F582" s="18">
        <v>1</v>
      </c>
      <c r="G582" s="23" t="s">
        <v>1928</v>
      </c>
      <c r="H582" s="22" t="s">
        <v>1033</v>
      </c>
      <c r="I582" s="22" t="s">
        <v>1034</v>
      </c>
      <c r="J582" s="22" t="s">
        <v>1964</v>
      </c>
      <c r="K582" s="11" t="s">
        <v>1942</v>
      </c>
      <c r="M582" s="17">
        <f>IFERROR(
IF(
$A582="","",
(VLOOKUP($G582,'nuevos productoss'!$A:$E,4,0))
),$C582)</f>
        <v>8712.1679999999997</v>
      </c>
      <c r="N582" s="17">
        <f>IFERROR(
IF(
$A582="","",
(VLOOKUP($G582,'nuevos productoss'!$A:$E,5,0))
),$C582)</f>
        <v>7383.2759999999998</v>
      </c>
      <c r="O582" s="17">
        <f t="shared" si="29"/>
        <v>1328.8919999999998</v>
      </c>
    </row>
    <row r="583" spans="1:15" x14ac:dyDescent="0.3">
      <c r="A583" s="5" t="s">
        <v>1929</v>
      </c>
      <c r="B583" s="20">
        <v>180</v>
      </c>
      <c r="C583" s="21">
        <v>10056.451999999999</v>
      </c>
      <c r="D583" s="18">
        <f t="shared" si="27"/>
        <v>10056.451999999999</v>
      </c>
      <c r="E583" s="21">
        <f t="shared" si="28"/>
        <v>9553.6293999999998</v>
      </c>
      <c r="F583" s="18">
        <v>1</v>
      </c>
      <c r="G583" s="23" t="s">
        <v>1930</v>
      </c>
      <c r="H583" s="22" t="s">
        <v>1033</v>
      </c>
      <c r="I583" s="22" t="s">
        <v>1034</v>
      </c>
      <c r="J583" s="22" t="s">
        <v>1965</v>
      </c>
      <c r="K583" s="11" t="s">
        <v>1942</v>
      </c>
      <c r="M583" s="17">
        <f>IFERROR(
IF(
$A583="","",
(VLOOKUP($G583,'nuevos productoss'!$A:$E,4,0))
),$C583)</f>
        <v>10056.451999999999</v>
      </c>
      <c r="N583" s="17">
        <f>IFERROR(
IF(
$A583="","",
(VLOOKUP($G583,'nuevos productoss'!$A:$E,5,0))
),$C583)</f>
        <v>8522.4320000000007</v>
      </c>
      <c r="O583" s="17">
        <f t="shared" si="29"/>
        <v>1534.0199999999986</v>
      </c>
    </row>
    <row r="584" spans="1:15" x14ac:dyDescent="0.3">
      <c r="A584" s="5" t="s">
        <v>1931</v>
      </c>
      <c r="B584" s="20">
        <v>720</v>
      </c>
      <c r="C584" s="21">
        <v>61211.616000000002</v>
      </c>
      <c r="D584" s="18">
        <f t="shared" si="27"/>
        <v>61211.616000000002</v>
      </c>
      <c r="E584" s="21">
        <f t="shared" si="28"/>
        <v>58151.035199999998</v>
      </c>
      <c r="F584" s="18">
        <v>1</v>
      </c>
      <c r="G584" s="23" t="s">
        <v>1932</v>
      </c>
      <c r="H584" s="22" t="s">
        <v>1046</v>
      </c>
      <c r="I584" s="22" t="s">
        <v>1048</v>
      </c>
      <c r="J584" s="22" t="s">
        <v>1966</v>
      </c>
      <c r="K584" s="11" t="s">
        <v>1942</v>
      </c>
      <c r="M584" s="17">
        <f>IFERROR(
IF(
$A584="","",
(VLOOKUP($G584,'nuevos productoss'!$A:$E,4,0))
),$C584)</f>
        <v>61211.616000000002</v>
      </c>
      <c r="N584" s="17">
        <f>IFERROR(
IF(
$A584="","",
(VLOOKUP($G584,'nuevos productoss'!$A:$E,5,0))
),$C584)</f>
        <v>51874.296000000002</v>
      </c>
      <c r="O584" s="17">
        <f t="shared" si="29"/>
        <v>9337.32</v>
      </c>
    </row>
    <row r="585" spans="1:15" x14ac:dyDescent="0.3">
      <c r="A585" s="5" t="s">
        <v>1933</v>
      </c>
      <c r="B585" s="20">
        <v>720</v>
      </c>
      <c r="C585" s="21">
        <v>63348.144</v>
      </c>
      <c r="D585" s="18">
        <f t="shared" si="27"/>
        <v>63348.144</v>
      </c>
      <c r="E585" s="21">
        <f t="shared" si="28"/>
        <v>60180.736799999999</v>
      </c>
      <c r="F585" s="18">
        <v>1</v>
      </c>
      <c r="G585" s="23" t="s">
        <v>1934</v>
      </c>
      <c r="H585" s="22" t="s">
        <v>1046</v>
      </c>
      <c r="I585" s="22" t="s">
        <v>1048</v>
      </c>
      <c r="J585" s="22" t="s">
        <v>1967</v>
      </c>
      <c r="K585" s="11" t="s">
        <v>1942</v>
      </c>
      <c r="M585" s="17">
        <f>IFERROR(
IF(
$A585="","",
(VLOOKUP($G585,'nuevos productoss'!$A:$E,4,0))
),$C585)</f>
        <v>63348.144</v>
      </c>
      <c r="N585" s="17">
        <f>IFERROR(
IF(
$A585="","",
(VLOOKUP($G585,'nuevos productoss'!$A:$E,5,0))
),$C585)</f>
        <v>53684.928</v>
      </c>
      <c r="O585" s="17">
        <f t="shared" si="29"/>
        <v>9663.2160000000003</v>
      </c>
    </row>
    <row r="586" spans="1:15" x14ac:dyDescent="0.3">
      <c r="A586" s="5" t="s">
        <v>807</v>
      </c>
      <c r="B586" s="20">
        <v>10</v>
      </c>
      <c r="C586" s="21">
        <v>25427.732</v>
      </c>
      <c r="D586" s="18">
        <f t="shared" si="27"/>
        <v>25427.732</v>
      </c>
      <c r="E586" s="21">
        <f t="shared" si="28"/>
        <v>24156.345399999998</v>
      </c>
      <c r="F586" s="18">
        <v>1</v>
      </c>
      <c r="G586" s="23" t="s">
        <v>808</v>
      </c>
      <c r="H586" s="22" t="s">
        <v>1058</v>
      </c>
      <c r="I586" s="22" t="s">
        <v>1068</v>
      </c>
      <c r="J586" s="22" t="s">
        <v>1395</v>
      </c>
      <c r="K586" s="11" t="s">
        <v>1942</v>
      </c>
      <c r="M586" s="17">
        <f>IFERROR(
IF(
$A586="","",
(VLOOKUP($G586,'nuevos productoss'!$A:$E,4,0))
),$C586)</f>
        <v>25427.732</v>
      </c>
      <c r="N586" s="17">
        <f>IFERROR(
IF(
$A586="","",
(VLOOKUP($G586,'nuevos productoss'!$A:$E,5,0))
),$C586)</f>
        <v>21548.948</v>
      </c>
      <c r="O586" s="17">
        <f t="shared" si="29"/>
        <v>3878.7839999999997</v>
      </c>
    </row>
    <row r="587" spans="1:15" x14ac:dyDescent="0.3">
      <c r="A587" s="5" t="s">
        <v>1935</v>
      </c>
      <c r="B587" s="20">
        <v>720</v>
      </c>
      <c r="C587" s="21">
        <v>13929.907999999999</v>
      </c>
      <c r="D587" s="18">
        <f t="shared" si="27"/>
        <v>13929.907999999999</v>
      </c>
      <c r="E587" s="21">
        <f t="shared" si="28"/>
        <v>13233.4126</v>
      </c>
      <c r="F587" s="18">
        <v>1</v>
      </c>
      <c r="G587" s="23" t="s">
        <v>1936</v>
      </c>
      <c r="H587" s="22" t="s">
        <v>1046</v>
      </c>
      <c r="I587" s="22" t="s">
        <v>1048</v>
      </c>
      <c r="J587" s="22" t="s">
        <v>1968</v>
      </c>
      <c r="K587" s="11" t="s">
        <v>1942</v>
      </c>
      <c r="M587" s="17">
        <f>IFERROR(
IF(
$A587="","",
(VLOOKUP($G587,'nuevos productoss'!$A:$E,4,0))
),$C587)</f>
        <v>13929.907999999999</v>
      </c>
      <c r="N587" s="17">
        <f>IFERROR(
IF(
$A587="","",
(VLOOKUP($G587,'nuevos productoss'!$A:$E,5,0))
),$C587)</f>
        <v>11804.924000000001</v>
      </c>
      <c r="O587" s="17">
        <f t="shared" si="29"/>
        <v>2124.9839999999986</v>
      </c>
    </row>
    <row r="588" spans="1:15" x14ac:dyDescent="0.3">
      <c r="A588" s="5" t="s">
        <v>889</v>
      </c>
      <c r="B588" s="20">
        <v>30</v>
      </c>
      <c r="C588" s="21">
        <v>20180.096000000001</v>
      </c>
      <c r="D588" s="18">
        <f t="shared" si="27"/>
        <v>20180.096000000001</v>
      </c>
      <c r="E588" s="21">
        <f t="shared" si="28"/>
        <v>19171.091199999999</v>
      </c>
      <c r="F588" s="18">
        <v>1</v>
      </c>
      <c r="G588" s="23" t="s">
        <v>890</v>
      </c>
      <c r="H588" s="22" t="s">
        <v>1058</v>
      </c>
      <c r="I588" s="22" t="s">
        <v>1065</v>
      </c>
      <c r="J588" s="22" t="s">
        <v>1423</v>
      </c>
      <c r="K588" s="11" t="s">
        <v>1942</v>
      </c>
      <c r="M588" s="17">
        <f>IFERROR(
IF(
$A588="","",
(VLOOKUP($G588,'nuevos productoss'!$A:$E,4,0))
),$C588)</f>
        <v>20180.096000000001</v>
      </c>
      <c r="N588" s="17">
        <f>IFERROR(
IF(
$A588="","",
(VLOOKUP($G588,'nuevos productoss'!$A:$E,5,0))
),$C588)</f>
        <v>17101.696</v>
      </c>
      <c r="O588" s="17">
        <f t="shared" si="29"/>
        <v>3078.4000000000015</v>
      </c>
    </row>
    <row r="589" spans="1:15" x14ac:dyDescent="0.3">
      <c r="A589" s="5" t="s">
        <v>1940</v>
      </c>
      <c r="B589" s="20">
        <v>360</v>
      </c>
      <c r="C589" s="21">
        <v>80293.403999999995</v>
      </c>
      <c r="D589" s="18">
        <f t="shared" si="27"/>
        <v>80293.403999999995</v>
      </c>
      <c r="E589" s="21">
        <f t="shared" si="28"/>
        <v>76278.733799999987</v>
      </c>
      <c r="F589" s="18">
        <v>1</v>
      </c>
      <c r="G589" s="23" t="s">
        <v>1941</v>
      </c>
      <c r="H589" s="22" t="s">
        <v>1055</v>
      </c>
      <c r="I589" s="22" t="s">
        <v>1056</v>
      </c>
      <c r="J589" s="22" t="s">
        <v>1969</v>
      </c>
      <c r="K589" s="11" t="s">
        <v>1942</v>
      </c>
      <c r="M589" s="17">
        <f>IFERROR(
IF(
$A589="","",
(VLOOKUP($G589,'nuevos productoss'!$A:$E,4,0))
),$C589)</f>
        <v>80293.403999999995</v>
      </c>
      <c r="N589" s="17">
        <f>IFERROR(
IF(
$A589="","",
(VLOOKUP($G589,'nuevos productoss'!$A:$E,5,0))
),$C589)</f>
        <v>68045.22</v>
      </c>
      <c r="O589" s="17">
        <f t="shared" si="29"/>
        <v>12248.183999999994</v>
      </c>
    </row>
    <row r="590" spans="1:15" x14ac:dyDescent="0.3">
      <c r="A590" s="5" t="s">
        <v>1938</v>
      </c>
      <c r="B590" s="20">
        <v>360</v>
      </c>
      <c r="C590" s="21">
        <v>91341.604000000007</v>
      </c>
      <c r="D590" s="18">
        <f t="shared" si="27"/>
        <v>91341.604000000007</v>
      </c>
      <c r="E590" s="21">
        <f t="shared" si="28"/>
        <v>86774.523799999995</v>
      </c>
      <c r="F590" s="18">
        <v>1</v>
      </c>
      <c r="G590" s="23" t="s">
        <v>1939</v>
      </c>
      <c r="H590" s="22" t="s">
        <v>1055</v>
      </c>
      <c r="I590" s="22" t="s">
        <v>1056</v>
      </c>
      <c r="J590" s="22" t="s">
        <v>1970</v>
      </c>
      <c r="K590" s="11" t="s">
        <v>1942</v>
      </c>
      <c r="M590" s="17">
        <f>IFERROR(
IF(
$A590="","",
(VLOOKUP($G590,'nuevos productoss'!$A:$E,4,0))
),$C590)</f>
        <v>91341.604000000007</v>
      </c>
      <c r="N590" s="17">
        <f>IFERROR(
IF(
$A590="","",
(VLOOKUP($G590,'nuevos productoss'!$A:$E,5,0))
),$C590)</f>
        <v>77408.144</v>
      </c>
      <c r="O590" s="17">
        <f t="shared" si="29"/>
        <v>13933.460000000006</v>
      </c>
    </row>
    <row r="591" spans="1:15" x14ac:dyDescent="0.3">
      <c r="O591" s="17"/>
    </row>
  </sheetData>
  <autoFilter ref="A1:K561" xr:uid="{284D719F-26D2-4205-951E-0F14CC8D38C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FD29-D335-4575-8132-2B3AEC29C5E9}">
  <dimension ref="A1:F561"/>
  <sheetViews>
    <sheetView zoomScale="130" zoomScaleNormal="130" workbookViewId="0">
      <pane ySplit="1" topLeftCell="A204" activePane="bottomLeft" state="frozen"/>
      <selection pane="bottomLeft" activeCell="C212" sqref="C212:D212"/>
    </sheetView>
  </sheetViews>
  <sheetFormatPr defaultRowHeight="14.4" x14ac:dyDescent="0.3"/>
  <cols>
    <col min="1" max="1" width="16.88671875" bestFit="1" customWidth="1"/>
    <col min="2" max="2" width="19.44140625" style="1" bestFit="1" customWidth="1"/>
    <col min="3" max="3" width="18.33203125" style="1" bestFit="1" customWidth="1"/>
    <col min="4" max="4" width="28.44140625" bestFit="1" customWidth="1"/>
    <col min="5" max="5" width="76.77734375" style="9" bestFit="1" customWidth="1"/>
  </cols>
  <sheetData>
    <row r="1" spans="1:6" s="10" customFormat="1" x14ac:dyDescent="0.3">
      <c r="A1" s="3" t="s">
        <v>1863</v>
      </c>
      <c r="B1" s="3" t="s">
        <v>1864</v>
      </c>
      <c r="C1" s="3" t="s">
        <v>1031</v>
      </c>
      <c r="D1" s="3" t="s">
        <v>1032</v>
      </c>
      <c r="E1" s="3" t="s">
        <v>1071</v>
      </c>
    </row>
    <row r="2" spans="1:6" x14ac:dyDescent="0.3">
      <c r="A2" t="s">
        <v>866</v>
      </c>
      <c r="B2" s="1" t="s">
        <v>865</v>
      </c>
      <c r="C2" s="1" t="s">
        <v>1058</v>
      </c>
      <c r="D2" s="1" t="s">
        <v>1065</v>
      </c>
      <c r="E2" s="9" t="s">
        <v>1423</v>
      </c>
      <c r="F2" s="9"/>
    </row>
    <row r="3" spans="1:6" x14ac:dyDescent="0.3">
      <c r="A3" t="s">
        <v>800</v>
      </c>
      <c r="B3" s="1" t="s">
        <v>799</v>
      </c>
      <c r="C3" s="1" t="s">
        <v>1046</v>
      </c>
      <c r="D3" s="1" t="s">
        <v>1047</v>
      </c>
      <c r="E3" s="9" t="s">
        <v>1391</v>
      </c>
      <c r="F3" s="9"/>
    </row>
    <row r="4" spans="1:6" x14ac:dyDescent="0.3">
      <c r="A4" t="s">
        <v>772</v>
      </c>
      <c r="B4" s="1" t="s">
        <v>771</v>
      </c>
      <c r="C4" s="1" t="s">
        <v>1046</v>
      </c>
      <c r="D4" s="1" t="s">
        <v>1048</v>
      </c>
      <c r="E4" s="9" t="s">
        <v>1377</v>
      </c>
      <c r="F4" s="9"/>
    </row>
    <row r="5" spans="1:6" x14ac:dyDescent="0.3">
      <c r="A5" t="s">
        <v>369</v>
      </c>
      <c r="B5" s="1" t="s">
        <v>368</v>
      </c>
      <c r="C5" s="1" t="s">
        <v>1033</v>
      </c>
      <c r="D5" s="1" t="s">
        <v>1034</v>
      </c>
      <c r="E5" s="9" t="s">
        <v>1202</v>
      </c>
      <c r="F5" s="9"/>
    </row>
    <row r="6" spans="1:6" x14ac:dyDescent="0.3">
      <c r="A6" t="s">
        <v>487</v>
      </c>
      <c r="B6" s="1" t="s">
        <v>486</v>
      </c>
      <c r="C6" s="1" t="s">
        <v>1033</v>
      </c>
      <c r="D6" s="1" t="s">
        <v>1038</v>
      </c>
      <c r="E6" s="9" t="s">
        <v>1258</v>
      </c>
      <c r="F6" s="9"/>
    </row>
    <row r="7" spans="1:6" x14ac:dyDescent="0.3">
      <c r="A7" t="s">
        <v>491</v>
      </c>
      <c r="B7" s="1" t="s">
        <v>490</v>
      </c>
      <c r="C7" s="1" t="s">
        <v>1033</v>
      </c>
      <c r="D7" s="1" t="s">
        <v>1038</v>
      </c>
      <c r="E7" s="9" t="s">
        <v>1260</v>
      </c>
      <c r="F7" s="9"/>
    </row>
    <row r="8" spans="1:6" x14ac:dyDescent="0.3">
      <c r="A8" t="s">
        <v>497</v>
      </c>
      <c r="B8" s="1" t="s">
        <v>496</v>
      </c>
      <c r="C8" s="1" t="s">
        <v>1033</v>
      </c>
      <c r="D8" s="1" t="s">
        <v>1038</v>
      </c>
      <c r="E8" s="9" t="s">
        <v>1263</v>
      </c>
      <c r="F8" s="9"/>
    </row>
    <row r="9" spans="1:6" x14ac:dyDescent="0.3">
      <c r="A9" t="s">
        <v>489</v>
      </c>
      <c r="B9" s="1" t="s">
        <v>488</v>
      </c>
      <c r="C9" s="1" t="s">
        <v>1033</v>
      </c>
      <c r="D9" s="1" t="s">
        <v>1038</v>
      </c>
      <c r="E9" s="9" t="s">
        <v>1259</v>
      </c>
      <c r="F9" s="9"/>
    </row>
    <row r="10" spans="1:6" x14ac:dyDescent="0.3">
      <c r="A10" t="s">
        <v>15</v>
      </c>
      <c r="B10" s="1" t="s">
        <v>14</v>
      </c>
      <c r="C10" s="1" t="s">
        <v>1058</v>
      </c>
      <c r="D10" s="1" t="s">
        <v>1026</v>
      </c>
      <c r="E10" s="9" t="s">
        <v>1076</v>
      </c>
      <c r="F10" s="9"/>
    </row>
    <row r="11" spans="1:6" x14ac:dyDescent="0.3">
      <c r="A11" t="s">
        <v>13</v>
      </c>
      <c r="B11" s="1" t="s">
        <v>12</v>
      </c>
      <c r="C11" s="1" t="s">
        <v>1058</v>
      </c>
      <c r="D11" s="1" t="s">
        <v>1026</v>
      </c>
      <c r="E11" s="9" t="s">
        <v>1075</v>
      </c>
      <c r="F11" s="9"/>
    </row>
    <row r="12" spans="1:6" x14ac:dyDescent="0.3">
      <c r="A12" t="s">
        <v>83</v>
      </c>
      <c r="B12" s="1" t="s">
        <v>82</v>
      </c>
      <c r="C12" s="1" t="s">
        <v>1046</v>
      </c>
      <c r="D12" s="1" t="s">
        <v>1050</v>
      </c>
      <c r="E12" s="9" t="s">
        <v>1108</v>
      </c>
      <c r="F12" s="9"/>
    </row>
    <row r="13" spans="1:6" x14ac:dyDescent="0.3">
      <c r="A13" t="s">
        <v>119</v>
      </c>
      <c r="B13" s="1" t="s">
        <v>118</v>
      </c>
      <c r="C13" s="1" t="s">
        <v>1033</v>
      </c>
      <c r="D13" s="1" t="s">
        <v>1034</v>
      </c>
      <c r="E13" s="9" t="s">
        <v>1126</v>
      </c>
      <c r="F13" s="9"/>
    </row>
    <row r="14" spans="1:6" x14ac:dyDescent="0.3">
      <c r="A14" t="s">
        <v>17</v>
      </c>
      <c r="B14" s="1" t="s">
        <v>16</v>
      </c>
      <c r="C14" s="1" t="s">
        <v>1058</v>
      </c>
      <c r="D14" s="1" t="s">
        <v>1026</v>
      </c>
      <c r="E14" s="9" t="s">
        <v>1077</v>
      </c>
      <c r="F14" s="9"/>
    </row>
    <row r="15" spans="1:6" x14ac:dyDescent="0.3">
      <c r="A15" t="s">
        <v>55</v>
      </c>
      <c r="B15" s="1" t="s">
        <v>1640</v>
      </c>
      <c r="C15" s="1" t="s">
        <v>1046</v>
      </c>
      <c r="D15" s="1" t="s">
        <v>1050</v>
      </c>
      <c r="E15" s="9" t="s">
        <v>1094</v>
      </c>
      <c r="F15" s="9"/>
    </row>
    <row r="16" spans="1:6" x14ac:dyDescent="0.3">
      <c r="A16" t="s">
        <v>60</v>
      </c>
      <c r="B16" s="1" t="s">
        <v>59</v>
      </c>
      <c r="C16" s="1" t="s">
        <v>1046</v>
      </c>
      <c r="D16" s="1" t="s">
        <v>1050</v>
      </c>
      <c r="E16" s="9" t="s">
        <v>1101</v>
      </c>
      <c r="F16" s="9"/>
    </row>
    <row r="17" spans="1:6" x14ac:dyDescent="0.3">
      <c r="A17" t="s">
        <v>58</v>
      </c>
      <c r="B17" s="1" t="s">
        <v>57</v>
      </c>
      <c r="C17" s="1" t="s">
        <v>1046</v>
      </c>
      <c r="D17" s="1" t="s">
        <v>1050</v>
      </c>
      <c r="E17" s="9" t="s">
        <v>1100</v>
      </c>
      <c r="F17" s="9"/>
    </row>
    <row r="18" spans="1:6" x14ac:dyDescent="0.3">
      <c r="A18" t="s">
        <v>73</v>
      </c>
      <c r="B18" s="1" t="s">
        <v>72</v>
      </c>
      <c r="C18" s="1" t="s">
        <v>1046</v>
      </c>
      <c r="D18" s="1" t="s">
        <v>1050</v>
      </c>
      <c r="E18" s="9" t="s">
        <v>1105</v>
      </c>
      <c r="F18" s="9"/>
    </row>
    <row r="19" spans="1:6" x14ac:dyDescent="0.3">
      <c r="A19" t="s">
        <v>101</v>
      </c>
      <c r="B19" s="1" t="s">
        <v>100</v>
      </c>
      <c r="C19" s="1" t="s">
        <v>1033</v>
      </c>
      <c r="D19" s="1" t="s">
        <v>1035</v>
      </c>
      <c r="E19" s="9" t="s">
        <v>1117</v>
      </c>
      <c r="F19" s="9"/>
    </row>
    <row r="20" spans="1:6" x14ac:dyDescent="0.3">
      <c r="A20" t="s">
        <v>97</v>
      </c>
      <c r="B20" s="1" t="s">
        <v>96</v>
      </c>
      <c r="C20" s="1" t="s">
        <v>1033</v>
      </c>
      <c r="D20" s="1" t="s">
        <v>1035</v>
      </c>
      <c r="E20" s="9" t="s">
        <v>1115</v>
      </c>
      <c r="F20" s="9"/>
    </row>
    <row r="21" spans="1:6" x14ac:dyDescent="0.3">
      <c r="A21" t="s">
        <v>99</v>
      </c>
      <c r="B21" s="1" t="s">
        <v>98</v>
      </c>
      <c r="C21" s="1" t="s">
        <v>1033</v>
      </c>
      <c r="D21" s="1" t="s">
        <v>1035</v>
      </c>
      <c r="E21" s="9" t="s">
        <v>1116</v>
      </c>
      <c r="F21" s="9"/>
    </row>
    <row r="22" spans="1:6" x14ac:dyDescent="0.3">
      <c r="A22" t="s">
        <v>70</v>
      </c>
      <c r="B22" s="1" t="s">
        <v>69</v>
      </c>
      <c r="C22" s="1" t="s">
        <v>1046</v>
      </c>
      <c r="D22" s="1" t="s">
        <v>1050</v>
      </c>
      <c r="E22" s="9">
        <v>0</v>
      </c>
      <c r="F22" s="9"/>
    </row>
    <row r="23" spans="1:6" x14ac:dyDescent="0.3">
      <c r="A23" t="s">
        <v>70</v>
      </c>
      <c r="B23" s="1" t="s">
        <v>71</v>
      </c>
      <c r="C23" s="1" t="s">
        <v>1046</v>
      </c>
      <c r="D23" s="1" t="s">
        <v>1050</v>
      </c>
      <c r="E23" s="9" t="s">
        <v>1104</v>
      </c>
      <c r="F23" s="9"/>
    </row>
    <row r="24" spans="1:6" x14ac:dyDescent="0.3">
      <c r="A24" t="s">
        <v>62</v>
      </c>
      <c r="B24" s="1" t="s">
        <v>61</v>
      </c>
      <c r="C24" s="1" t="s">
        <v>1046</v>
      </c>
      <c r="D24" s="1" t="s">
        <v>1050</v>
      </c>
      <c r="E24" s="9" t="s">
        <v>1102</v>
      </c>
      <c r="F24" s="9"/>
    </row>
    <row r="25" spans="1:6" x14ac:dyDescent="0.3">
      <c r="A25" t="s">
        <v>64</v>
      </c>
      <c r="B25" s="1" t="s">
        <v>63</v>
      </c>
      <c r="C25" s="1" t="s">
        <v>1046</v>
      </c>
      <c r="D25" s="1" t="s">
        <v>1050</v>
      </c>
      <c r="E25" s="9" t="s">
        <v>1102</v>
      </c>
      <c r="F25" s="9"/>
    </row>
    <row r="26" spans="1:6" x14ac:dyDescent="0.3">
      <c r="A26" t="s">
        <v>66</v>
      </c>
      <c r="B26" s="1" t="s">
        <v>65</v>
      </c>
      <c r="C26" s="1" t="s">
        <v>1046</v>
      </c>
      <c r="D26" s="1" t="s">
        <v>1050</v>
      </c>
      <c r="E26" s="9" t="s">
        <v>1103</v>
      </c>
      <c r="F26" s="9"/>
    </row>
    <row r="27" spans="1:6" x14ac:dyDescent="0.3">
      <c r="A27" t="s">
        <v>68</v>
      </c>
      <c r="B27" s="1" t="s">
        <v>67</v>
      </c>
      <c r="C27" s="1" t="s">
        <v>1046</v>
      </c>
      <c r="D27" s="1" t="s">
        <v>1050</v>
      </c>
      <c r="E27" s="9" t="s">
        <v>1102</v>
      </c>
      <c r="F27" s="9"/>
    </row>
    <row r="28" spans="1:6" x14ac:dyDescent="0.3">
      <c r="A28" t="s">
        <v>81</v>
      </c>
      <c r="B28" s="1" t="s">
        <v>80</v>
      </c>
      <c r="C28" s="1" t="s">
        <v>1046</v>
      </c>
      <c r="D28" s="1" t="s">
        <v>1050</v>
      </c>
      <c r="E28" s="9" t="s">
        <v>1107</v>
      </c>
      <c r="F28" s="9"/>
    </row>
    <row r="29" spans="1:6" x14ac:dyDescent="0.3">
      <c r="A29" t="s">
        <v>75</v>
      </c>
      <c r="B29" s="1" t="s">
        <v>74</v>
      </c>
      <c r="C29" s="1" t="s">
        <v>1046</v>
      </c>
      <c r="D29" s="1" t="s">
        <v>1050</v>
      </c>
      <c r="E29" s="9" t="s">
        <v>1089</v>
      </c>
      <c r="F29" s="9"/>
    </row>
    <row r="30" spans="1:6" x14ac:dyDescent="0.3">
      <c r="A30" t="s">
        <v>77</v>
      </c>
      <c r="B30" s="1" t="s">
        <v>76</v>
      </c>
      <c r="C30" s="1" t="s">
        <v>1046</v>
      </c>
      <c r="D30" s="1" t="s">
        <v>1050</v>
      </c>
      <c r="E30" s="9" t="s">
        <v>1089</v>
      </c>
      <c r="F30" s="9"/>
    </row>
    <row r="31" spans="1:6" x14ac:dyDescent="0.3">
      <c r="A31" t="s">
        <v>283</v>
      </c>
      <c r="B31" s="1" t="s">
        <v>282</v>
      </c>
      <c r="C31" s="1" t="s">
        <v>1046</v>
      </c>
      <c r="D31" s="1" t="s">
        <v>1050</v>
      </c>
      <c r="E31" s="9" t="s">
        <v>1161</v>
      </c>
      <c r="F31" s="9"/>
    </row>
    <row r="32" spans="1:6" x14ac:dyDescent="0.3">
      <c r="A32" t="s">
        <v>279</v>
      </c>
      <c r="B32" s="1" t="s">
        <v>278</v>
      </c>
      <c r="C32" s="1" t="s">
        <v>1046</v>
      </c>
      <c r="D32" s="1" t="s">
        <v>1050</v>
      </c>
      <c r="E32" s="9" t="s">
        <v>1159</v>
      </c>
      <c r="F32" s="9"/>
    </row>
    <row r="33" spans="1:6" x14ac:dyDescent="0.3">
      <c r="A33" t="s">
        <v>281</v>
      </c>
      <c r="B33" s="1" t="s">
        <v>280</v>
      </c>
      <c r="C33" s="1" t="s">
        <v>1046</v>
      </c>
      <c r="D33" s="1" t="s">
        <v>1050</v>
      </c>
      <c r="E33" s="9" t="s">
        <v>1160</v>
      </c>
      <c r="F33" s="9"/>
    </row>
    <row r="34" spans="1:6" x14ac:dyDescent="0.3">
      <c r="A34" t="s">
        <v>33</v>
      </c>
      <c r="B34" s="1" t="s">
        <v>1556</v>
      </c>
      <c r="C34" s="1" t="s">
        <v>1046</v>
      </c>
      <c r="D34" s="1" t="s">
        <v>1050</v>
      </c>
      <c r="E34" s="9" t="s">
        <v>1087</v>
      </c>
      <c r="F34" s="9"/>
    </row>
    <row r="35" spans="1:6" x14ac:dyDescent="0.3">
      <c r="A35" t="s">
        <v>37</v>
      </c>
      <c r="B35" s="1" t="s">
        <v>36</v>
      </c>
      <c r="C35" s="1" t="s">
        <v>1046</v>
      </c>
      <c r="D35" s="1" t="s">
        <v>1050</v>
      </c>
      <c r="E35" s="9" t="s">
        <v>1089</v>
      </c>
      <c r="F35" s="9"/>
    </row>
    <row r="36" spans="1:6" x14ac:dyDescent="0.3">
      <c r="A36" t="s">
        <v>285</v>
      </c>
      <c r="B36" s="1" t="s">
        <v>284</v>
      </c>
      <c r="C36" s="1" t="s">
        <v>1033</v>
      </c>
      <c r="D36" s="1" t="s">
        <v>1042</v>
      </c>
      <c r="E36" s="9" t="s">
        <v>1162</v>
      </c>
      <c r="F36" s="9"/>
    </row>
    <row r="37" spans="1:6" x14ac:dyDescent="0.3">
      <c r="A37" t="s">
        <v>41</v>
      </c>
      <c r="B37" s="1" t="s">
        <v>40</v>
      </c>
      <c r="C37" s="1" t="s">
        <v>1046</v>
      </c>
      <c r="D37" s="1" t="s">
        <v>1050</v>
      </c>
      <c r="E37" s="9" t="s">
        <v>1091</v>
      </c>
      <c r="F37" s="9"/>
    </row>
    <row r="38" spans="1:6" x14ac:dyDescent="0.3">
      <c r="A38" t="s">
        <v>43</v>
      </c>
      <c r="B38" s="1" t="s">
        <v>42</v>
      </c>
      <c r="C38" s="1" t="s">
        <v>1046</v>
      </c>
      <c r="D38" s="1" t="s">
        <v>1050</v>
      </c>
      <c r="E38" s="9" t="s">
        <v>1092</v>
      </c>
      <c r="F38" s="9"/>
    </row>
    <row r="39" spans="1:6" x14ac:dyDescent="0.3">
      <c r="A39" t="s">
        <v>780</v>
      </c>
      <c r="B39" s="1" t="s">
        <v>779</v>
      </c>
      <c r="C39" s="1" t="s">
        <v>1046</v>
      </c>
      <c r="D39" s="1" t="s">
        <v>1048</v>
      </c>
      <c r="E39" s="9" t="s">
        <v>1381</v>
      </c>
      <c r="F39" s="9"/>
    </row>
    <row r="40" spans="1:6" x14ac:dyDescent="0.3">
      <c r="A40" t="s">
        <v>445</v>
      </c>
      <c r="B40" s="1" t="s">
        <v>444</v>
      </c>
      <c r="C40" s="1" t="s">
        <v>1033</v>
      </c>
      <c r="D40" s="1" t="s">
        <v>1028</v>
      </c>
      <c r="E40" s="9" t="s">
        <v>1238</v>
      </c>
      <c r="F40" s="9"/>
    </row>
    <row r="41" spans="1:6" x14ac:dyDescent="0.3">
      <c r="A41" t="s">
        <v>423</v>
      </c>
      <c r="B41" s="1" t="s">
        <v>422</v>
      </c>
      <c r="C41" s="1" t="s">
        <v>1033</v>
      </c>
      <c r="D41" s="1" t="s">
        <v>1035</v>
      </c>
      <c r="E41" s="9" t="s">
        <v>1227</v>
      </c>
      <c r="F41" s="9"/>
    </row>
    <row r="42" spans="1:6" x14ac:dyDescent="0.3">
      <c r="A42" t="s">
        <v>91</v>
      </c>
      <c r="B42" s="1" t="s">
        <v>90</v>
      </c>
      <c r="C42" s="1" t="s">
        <v>1033</v>
      </c>
      <c r="D42" s="1" t="s">
        <v>1035</v>
      </c>
      <c r="E42" s="9" t="s">
        <v>1112</v>
      </c>
      <c r="F42" s="9"/>
    </row>
    <row r="43" spans="1:6" x14ac:dyDescent="0.3">
      <c r="A43" t="s">
        <v>425</v>
      </c>
      <c r="B43" s="1" t="s">
        <v>424</v>
      </c>
      <c r="C43" s="1" t="s">
        <v>1033</v>
      </c>
      <c r="D43" s="1" t="s">
        <v>1035</v>
      </c>
      <c r="E43" s="9" t="s">
        <v>1228</v>
      </c>
      <c r="F43" s="9"/>
    </row>
    <row r="44" spans="1:6" x14ac:dyDescent="0.3">
      <c r="A44" t="s">
        <v>427</v>
      </c>
      <c r="B44" s="1" t="s">
        <v>426</v>
      </c>
      <c r="C44" s="1" t="s">
        <v>1033</v>
      </c>
      <c r="D44" s="1" t="s">
        <v>1035</v>
      </c>
      <c r="E44" s="9" t="s">
        <v>1229</v>
      </c>
      <c r="F44" s="9"/>
    </row>
    <row r="45" spans="1:6" x14ac:dyDescent="0.3">
      <c r="A45" t="s">
        <v>628</v>
      </c>
      <c r="B45" s="1" t="s">
        <v>627</v>
      </c>
      <c r="C45" s="1" t="s">
        <v>1053</v>
      </c>
      <c r="D45" s="1" t="s">
        <v>1054</v>
      </c>
      <c r="E45" s="9">
        <v>0</v>
      </c>
      <c r="F45" s="9"/>
    </row>
    <row r="46" spans="1:6" x14ac:dyDescent="0.3">
      <c r="A46" t="s">
        <v>626</v>
      </c>
      <c r="B46" s="1" t="s">
        <v>625</v>
      </c>
      <c r="C46" s="1" t="s">
        <v>1053</v>
      </c>
      <c r="D46" s="1" t="s">
        <v>1054</v>
      </c>
      <c r="E46" s="9" t="s">
        <v>1319</v>
      </c>
      <c r="F46" s="9"/>
    </row>
    <row r="47" spans="1:6" x14ac:dyDescent="0.3">
      <c r="A47" t="s">
        <v>31</v>
      </c>
      <c r="B47" s="1" t="s">
        <v>30</v>
      </c>
      <c r="C47" s="1" t="s">
        <v>1033</v>
      </c>
      <c r="D47" s="1" t="s">
        <v>1043</v>
      </c>
      <c r="E47" s="9" t="s">
        <v>1098</v>
      </c>
      <c r="F47" s="9"/>
    </row>
    <row r="48" spans="1:6" x14ac:dyDescent="0.3">
      <c r="A48" t="s">
        <v>32</v>
      </c>
      <c r="B48" s="1" t="s">
        <v>1536</v>
      </c>
      <c r="C48" s="1" t="s">
        <v>1033</v>
      </c>
      <c r="D48" s="1" t="s">
        <v>1043</v>
      </c>
      <c r="E48" s="9" t="s">
        <v>1099</v>
      </c>
      <c r="F48" s="9"/>
    </row>
    <row r="49" spans="1:6" x14ac:dyDescent="0.3">
      <c r="A49" t="s">
        <v>662</v>
      </c>
      <c r="B49" s="1" t="s">
        <v>661</v>
      </c>
      <c r="C49" s="1" t="s">
        <v>1058</v>
      </c>
      <c r="D49" s="1" t="s">
        <v>1044</v>
      </c>
      <c r="E49" s="9" t="s">
        <v>1330</v>
      </c>
      <c r="F49" s="9"/>
    </row>
    <row r="50" spans="1:6" x14ac:dyDescent="0.3">
      <c r="A50" t="s">
        <v>449</v>
      </c>
      <c r="B50" s="1" t="s">
        <v>448</v>
      </c>
      <c r="C50" s="1" t="s">
        <v>1033</v>
      </c>
      <c r="D50" s="1" t="s">
        <v>1028</v>
      </c>
      <c r="E50" s="9" t="s">
        <v>1240</v>
      </c>
      <c r="F50" s="9"/>
    </row>
    <row r="51" spans="1:6" x14ac:dyDescent="0.3">
      <c r="A51" t="s">
        <v>171</v>
      </c>
      <c r="B51" s="1" t="s">
        <v>170</v>
      </c>
      <c r="C51" s="1" t="s">
        <v>1058</v>
      </c>
      <c r="D51" s="1" t="s">
        <v>1065</v>
      </c>
      <c r="E51" s="9" t="s">
        <v>1150</v>
      </c>
      <c r="F51" s="9"/>
    </row>
    <row r="52" spans="1:6" x14ac:dyDescent="0.3">
      <c r="A52" t="s">
        <v>173</v>
      </c>
      <c r="B52" s="1" t="s">
        <v>172</v>
      </c>
      <c r="C52" s="1" t="s">
        <v>1058</v>
      </c>
      <c r="D52" s="1" t="s">
        <v>1065</v>
      </c>
      <c r="E52" s="9" t="s">
        <v>1151</v>
      </c>
      <c r="F52" s="9"/>
    </row>
    <row r="53" spans="1:6" x14ac:dyDescent="0.3">
      <c r="A53" t="s">
        <v>175</v>
      </c>
      <c r="B53" s="1" t="s">
        <v>174</v>
      </c>
      <c r="C53" s="1" t="s">
        <v>1058</v>
      </c>
      <c r="D53" s="1" t="s">
        <v>1065</v>
      </c>
      <c r="E53" s="9" t="s">
        <v>1152</v>
      </c>
      <c r="F53" s="9"/>
    </row>
    <row r="54" spans="1:6" x14ac:dyDescent="0.3">
      <c r="A54" t="s">
        <v>177</v>
      </c>
      <c r="B54" s="1" t="s">
        <v>176</v>
      </c>
      <c r="C54" s="1" t="s">
        <v>1058</v>
      </c>
      <c r="D54" s="1" t="s">
        <v>1065</v>
      </c>
      <c r="E54" s="9" t="s">
        <v>1153</v>
      </c>
      <c r="F54" s="9"/>
    </row>
    <row r="55" spans="1:6" x14ac:dyDescent="0.3">
      <c r="A55" t="s">
        <v>327</v>
      </c>
      <c r="B55" s="1" t="s">
        <v>326</v>
      </c>
      <c r="C55" s="1" t="s">
        <v>1033</v>
      </c>
      <c r="D55" s="1" t="s">
        <v>1041</v>
      </c>
      <c r="E55" s="9" t="s">
        <v>1182</v>
      </c>
      <c r="F55" s="9"/>
    </row>
    <row r="56" spans="1:6" x14ac:dyDescent="0.3">
      <c r="A56" t="s">
        <v>335</v>
      </c>
      <c r="B56" s="1" t="s">
        <v>334</v>
      </c>
      <c r="C56" s="1" t="s">
        <v>1033</v>
      </c>
      <c r="D56" s="1" t="s">
        <v>1041</v>
      </c>
      <c r="E56" s="9" t="s">
        <v>1186</v>
      </c>
      <c r="F56" s="9"/>
    </row>
    <row r="57" spans="1:6" x14ac:dyDescent="0.3">
      <c r="A57" t="s">
        <v>333</v>
      </c>
      <c r="B57" s="1" t="s">
        <v>332</v>
      </c>
      <c r="C57" s="1" t="s">
        <v>1033</v>
      </c>
      <c r="D57" s="1" t="s">
        <v>1041</v>
      </c>
      <c r="E57" s="9" t="s">
        <v>1185</v>
      </c>
      <c r="F57" s="9"/>
    </row>
    <row r="58" spans="1:6" x14ac:dyDescent="0.3">
      <c r="A58" t="s">
        <v>321</v>
      </c>
      <c r="B58" s="1" t="s">
        <v>320</v>
      </c>
      <c r="C58" s="1" t="s">
        <v>1033</v>
      </c>
      <c r="D58" s="1" t="s">
        <v>1041</v>
      </c>
      <c r="E58" s="9" t="s">
        <v>1179</v>
      </c>
      <c r="F58" s="9"/>
    </row>
    <row r="59" spans="1:6" x14ac:dyDescent="0.3">
      <c r="A59" t="s">
        <v>329</v>
      </c>
      <c r="B59" s="1" t="s">
        <v>328</v>
      </c>
      <c r="C59" s="1" t="s">
        <v>1033</v>
      </c>
      <c r="D59" s="1" t="s">
        <v>1041</v>
      </c>
      <c r="E59" s="9" t="s">
        <v>1183</v>
      </c>
      <c r="F59" s="9"/>
    </row>
    <row r="60" spans="1:6" x14ac:dyDescent="0.3">
      <c r="A60" t="s">
        <v>325</v>
      </c>
      <c r="B60" s="1" t="s">
        <v>324</v>
      </c>
      <c r="C60" s="1" t="s">
        <v>1033</v>
      </c>
      <c r="D60" s="1" t="s">
        <v>1041</v>
      </c>
      <c r="E60" s="9" t="s">
        <v>1181</v>
      </c>
      <c r="F60" s="9"/>
    </row>
    <row r="61" spans="1:6" x14ac:dyDescent="0.3">
      <c r="A61" t="s">
        <v>339</v>
      </c>
      <c r="B61" s="1" t="s">
        <v>338</v>
      </c>
      <c r="C61" s="1" t="s">
        <v>1033</v>
      </c>
      <c r="D61" s="1" t="s">
        <v>1041</v>
      </c>
      <c r="E61" s="9" t="s">
        <v>1188</v>
      </c>
      <c r="F61" s="9"/>
    </row>
    <row r="62" spans="1:6" x14ac:dyDescent="0.3">
      <c r="A62" t="s">
        <v>337</v>
      </c>
      <c r="B62" s="1" t="s">
        <v>336</v>
      </c>
      <c r="C62" s="1" t="s">
        <v>1033</v>
      </c>
      <c r="D62" s="1" t="s">
        <v>1041</v>
      </c>
      <c r="E62" s="9" t="s">
        <v>1187</v>
      </c>
      <c r="F62" s="9"/>
    </row>
    <row r="63" spans="1:6" x14ac:dyDescent="0.3">
      <c r="A63" t="s">
        <v>343</v>
      </c>
      <c r="B63" s="1" t="s">
        <v>342</v>
      </c>
      <c r="C63" s="1" t="s">
        <v>1033</v>
      </c>
      <c r="D63" s="1" t="s">
        <v>1041</v>
      </c>
      <c r="E63" s="9" t="s">
        <v>1189</v>
      </c>
      <c r="F63" s="9"/>
    </row>
    <row r="64" spans="1:6" x14ac:dyDescent="0.3">
      <c r="A64" t="s">
        <v>341</v>
      </c>
      <c r="B64" s="1" t="s">
        <v>340</v>
      </c>
      <c r="C64" s="1" t="s">
        <v>1033</v>
      </c>
      <c r="D64" s="1" t="s">
        <v>1041</v>
      </c>
      <c r="E64" s="9" t="s">
        <v>1189</v>
      </c>
      <c r="F64" s="9"/>
    </row>
    <row r="65" spans="1:6" x14ac:dyDescent="0.3">
      <c r="A65" t="s">
        <v>345</v>
      </c>
      <c r="B65" s="1" t="s">
        <v>344</v>
      </c>
      <c r="C65" s="1" t="s">
        <v>1033</v>
      </c>
      <c r="D65" s="1" t="s">
        <v>1041</v>
      </c>
      <c r="E65" s="9" t="s">
        <v>1190</v>
      </c>
      <c r="F65" s="9"/>
    </row>
    <row r="66" spans="1:6" x14ac:dyDescent="0.3">
      <c r="A66" t="s">
        <v>353</v>
      </c>
      <c r="B66" s="1" t="s">
        <v>352</v>
      </c>
      <c r="C66" s="1" t="s">
        <v>1033</v>
      </c>
      <c r="D66" s="1" t="s">
        <v>1041</v>
      </c>
      <c r="E66" s="9" t="s">
        <v>1194</v>
      </c>
      <c r="F66" s="9"/>
    </row>
    <row r="67" spans="1:6" x14ac:dyDescent="0.3">
      <c r="A67" t="s">
        <v>331</v>
      </c>
      <c r="B67" s="1" t="s">
        <v>330</v>
      </c>
      <c r="C67" s="1" t="s">
        <v>1033</v>
      </c>
      <c r="D67" s="1" t="s">
        <v>1041</v>
      </c>
      <c r="E67" s="9" t="s">
        <v>1184</v>
      </c>
      <c r="F67" s="9"/>
    </row>
    <row r="68" spans="1:6" x14ac:dyDescent="0.3">
      <c r="A68" t="s">
        <v>349</v>
      </c>
      <c r="B68" s="1" t="s">
        <v>348</v>
      </c>
      <c r="C68" s="1" t="s">
        <v>1033</v>
      </c>
      <c r="D68" s="1" t="s">
        <v>1041</v>
      </c>
      <c r="E68" s="9" t="s">
        <v>1192</v>
      </c>
      <c r="F68" s="9"/>
    </row>
    <row r="69" spans="1:6" x14ac:dyDescent="0.3">
      <c r="A69" t="s">
        <v>347</v>
      </c>
      <c r="B69" s="1" t="s">
        <v>346</v>
      </c>
      <c r="C69" s="1" t="s">
        <v>1033</v>
      </c>
      <c r="D69" s="1" t="s">
        <v>1041</v>
      </c>
      <c r="E69" s="9" t="s">
        <v>1191</v>
      </c>
      <c r="F69" s="9"/>
    </row>
    <row r="70" spans="1:6" x14ac:dyDescent="0.3">
      <c r="A70" t="s">
        <v>351</v>
      </c>
      <c r="B70" s="1" t="s">
        <v>350</v>
      </c>
      <c r="C70" s="1" t="s">
        <v>1033</v>
      </c>
      <c r="D70" s="1" t="s">
        <v>1041</v>
      </c>
      <c r="E70" s="9" t="s">
        <v>1193</v>
      </c>
      <c r="F70" s="9"/>
    </row>
    <row r="71" spans="1:6" x14ac:dyDescent="0.3">
      <c r="A71" t="s">
        <v>355</v>
      </c>
      <c r="B71" s="1" t="s">
        <v>354</v>
      </c>
      <c r="C71" s="1" t="s">
        <v>1033</v>
      </c>
      <c r="D71" s="1" t="s">
        <v>1041</v>
      </c>
      <c r="E71" s="9" t="s">
        <v>1195</v>
      </c>
      <c r="F71" s="9"/>
    </row>
    <row r="72" spans="1:6" x14ac:dyDescent="0.3">
      <c r="A72" t="s">
        <v>323</v>
      </c>
      <c r="B72" s="1" t="s">
        <v>322</v>
      </c>
      <c r="C72" s="1" t="s">
        <v>1033</v>
      </c>
      <c r="D72" s="1" t="s">
        <v>1041</v>
      </c>
      <c r="E72" s="9" t="s">
        <v>1180</v>
      </c>
      <c r="F72" s="9"/>
    </row>
    <row r="73" spans="1:6" x14ac:dyDescent="0.3">
      <c r="A73" t="s">
        <v>361</v>
      </c>
      <c r="B73" s="1" t="s">
        <v>360</v>
      </c>
      <c r="C73" s="1" t="s">
        <v>1033</v>
      </c>
      <c r="D73" s="1" t="s">
        <v>1034</v>
      </c>
      <c r="E73" s="9" t="s">
        <v>1198</v>
      </c>
      <c r="F73" s="9"/>
    </row>
    <row r="74" spans="1:6" x14ac:dyDescent="0.3">
      <c r="A74" t="s">
        <v>932</v>
      </c>
      <c r="B74" s="1" t="s">
        <v>931</v>
      </c>
      <c r="C74" s="1" t="s">
        <v>1058</v>
      </c>
      <c r="D74" s="1" t="s">
        <v>1065</v>
      </c>
      <c r="E74" s="9" t="s">
        <v>1423</v>
      </c>
      <c r="F74" s="9"/>
    </row>
    <row r="75" spans="1:6" x14ac:dyDescent="0.3">
      <c r="A75" t="s">
        <v>776</v>
      </c>
      <c r="B75" s="1" t="s">
        <v>775</v>
      </c>
      <c r="C75" s="1" t="s">
        <v>1046</v>
      </c>
      <c r="D75" s="1" t="s">
        <v>1048</v>
      </c>
      <c r="E75" s="9" t="s">
        <v>1379</v>
      </c>
      <c r="F75" s="9"/>
    </row>
    <row r="76" spans="1:6" x14ac:dyDescent="0.3">
      <c r="A76" t="s">
        <v>237</v>
      </c>
      <c r="B76" s="1" t="s">
        <v>236</v>
      </c>
      <c r="C76" s="1" t="s">
        <v>1058</v>
      </c>
      <c r="D76" s="1" t="s">
        <v>1065</v>
      </c>
      <c r="E76" s="9" t="s">
        <v>1155</v>
      </c>
      <c r="F76" s="9"/>
    </row>
    <row r="77" spans="1:6" x14ac:dyDescent="0.3">
      <c r="A77" t="s">
        <v>530</v>
      </c>
      <c r="B77" s="1" t="s">
        <v>529</v>
      </c>
      <c r="C77" s="1" t="s">
        <v>1033</v>
      </c>
      <c r="D77" s="1" t="s">
        <v>1036</v>
      </c>
      <c r="E77" s="9" t="s">
        <v>1276</v>
      </c>
      <c r="F77" s="9"/>
    </row>
    <row r="78" spans="1:6" x14ac:dyDescent="0.3">
      <c r="A78" t="s">
        <v>534</v>
      </c>
      <c r="B78" s="1" t="s">
        <v>533</v>
      </c>
      <c r="C78" s="1" t="s">
        <v>1033</v>
      </c>
      <c r="D78" s="1" t="s">
        <v>1034</v>
      </c>
      <c r="E78" s="9" t="s">
        <v>1278</v>
      </c>
      <c r="F78" s="9"/>
    </row>
    <row r="79" spans="1:6" x14ac:dyDescent="0.3">
      <c r="A79" t="s">
        <v>239</v>
      </c>
      <c r="B79" s="1" t="s">
        <v>238</v>
      </c>
      <c r="C79" s="1" t="s">
        <v>1058</v>
      </c>
      <c r="D79" s="1" t="s">
        <v>1065</v>
      </c>
      <c r="E79" s="9" t="s">
        <v>1156</v>
      </c>
      <c r="F79" s="9"/>
    </row>
    <row r="80" spans="1:6" x14ac:dyDescent="0.3">
      <c r="A80" t="s">
        <v>241</v>
      </c>
      <c r="B80" s="1" t="s">
        <v>240</v>
      </c>
      <c r="C80" s="1" t="s">
        <v>1058</v>
      </c>
      <c r="D80" s="1" t="s">
        <v>1065</v>
      </c>
      <c r="E80" s="9" t="s">
        <v>1157</v>
      </c>
      <c r="F80" s="9"/>
    </row>
    <row r="81" spans="1:6" x14ac:dyDescent="0.3">
      <c r="A81" t="s">
        <v>265</v>
      </c>
      <c r="B81" s="1" t="s">
        <v>264</v>
      </c>
      <c r="C81" s="1" t="s">
        <v>1058</v>
      </c>
      <c r="D81" s="1" t="s">
        <v>1065</v>
      </c>
      <c r="E81" s="9" t="s">
        <v>1157</v>
      </c>
      <c r="F81" s="9"/>
    </row>
    <row r="82" spans="1:6" x14ac:dyDescent="0.3">
      <c r="A82" t="s">
        <v>261</v>
      </c>
      <c r="B82" s="1" t="s">
        <v>260</v>
      </c>
      <c r="C82" s="1" t="s">
        <v>1058</v>
      </c>
      <c r="D82" s="1" t="s">
        <v>1065</v>
      </c>
      <c r="E82" s="9" t="s">
        <v>1157</v>
      </c>
      <c r="F82" s="9"/>
    </row>
    <row r="83" spans="1:6" x14ac:dyDescent="0.3">
      <c r="A83" t="s">
        <v>259</v>
      </c>
      <c r="B83" s="1" t="s">
        <v>258</v>
      </c>
      <c r="C83" s="1" t="s">
        <v>1058</v>
      </c>
      <c r="D83" s="1" t="s">
        <v>1065</v>
      </c>
      <c r="E83" s="9" t="s">
        <v>1157</v>
      </c>
      <c r="F83" s="9"/>
    </row>
    <row r="84" spans="1:6" x14ac:dyDescent="0.3">
      <c r="A84" t="s">
        <v>263</v>
      </c>
      <c r="B84" s="1" t="s">
        <v>262</v>
      </c>
      <c r="C84" s="1" t="s">
        <v>1058</v>
      </c>
      <c r="D84" s="1" t="s">
        <v>1065</v>
      </c>
      <c r="E84" s="9" t="s">
        <v>1157</v>
      </c>
      <c r="F84" s="9"/>
    </row>
    <row r="85" spans="1:6" x14ac:dyDescent="0.3">
      <c r="A85" t="s">
        <v>247</v>
      </c>
      <c r="B85" s="1" t="s">
        <v>246</v>
      </c>
      <c r="C85" s="1" t="s">
        <v>1058</v>
      </c>
      <c r="D85" s="1" t="s">
        <v>1065</v>
      </c>
      <c r="E85" s="9" t="s">
        <v>1157</v>
      </c>
      <c r="F85" s="9"/>
    </row>
    <row r="86" spans="1:6" x14ac:dyDescent="0.3">
      <c r="A86" t="s">
        <v>245</v>
      </c>
      <c r="B86" s="1" t="s">
        <v>244</v>
      </c>
      <c r="C86" s="1" t="s">
        <v>1058</v>
      </c>
      <c r="D86" s="1" t="s">
        <v>1065</v>
      </c>
      <c r="E86" s="9" t="s">
        <v>1157</v>
      </c>
      <c r="F86" s="9"/>
    </row>
    <row r="87" spans="1:6" x14ac:dyDescent="0.3">
      <c r="A87" t="s">
        <v>249</v>
      </c>
      <c r="B87" s="1" t="s">
        <v>248</v>
      </c>
      <c r="C87" s="1" t="s">
        <v>1058</v>
      </c>
      <c r="D87" s="1" t="s">
        <v>1065</v>
      </c>
      <c r="E87" s="9" t="s">
        <v>1157</v>
      </c>
      <c r="F87" s="9"/>
    </row>
    <row r="88" spans="1:6" x14ac:dyDescent="0.3">
      <c r="A88" t="s">
        <v>243</v>
      </c>
      <c r="B88" s="1" t="s">
        <v>242</v>
      </c>
      <c r="C88" s="1" t="s">
        <v>1058</v>
      </c>
      <c r="D88" s="1" t="s">
        <v>1065</v>
      </c>
      <c r="E88" s="9" t="s">
        <v>1157</v>
      </c>
      <c r="F88" s="9"/>
    </row>
    <row r="89" spans="1:6" x14ac:dyDescent="0.3">
      <c r="A89" t="s">
        <v>251</v>
      </c>
      <c r="B89" s="1" t="s">
        <v>250</v>
      </c>
      <c r="C89" s="1" t="s">
        <v>1058</v>
      </c>
      <c r="D89" s="1" t="s">
        <v>1065</v>
      </c>
      <c r="E89" s="9" t="s">
        <v>1157</v>
      </c>
      <c r="F89" s="9"/>
    </row>
    <row r="90" spans="1:6" x14ac:dyDescent="0.3">
      <c r="A90" t="s">
        <v>255</v>
      </c>
      <c r="B90" s="1" t="s">
        <v>254</v>
      </c>
      <c r="C90" s="1" t="s">
        <v>1058</v>
      </c>
      <c r="D90" s="1" t="s">
        <v>1065</v>
      </c>
      <c r="E90" s="9" t="s">
        <v>1157</v>
      </c>
      <c r="F90" s="9"/>
    </row>
    <row r="91" spans="1:6" x14ac:dyDescent="0.3">
      <c r="A91" t="s">
        <v>253</v>
      </c>
      <c r="B91" s="1" t="s">
        <v>252</v>
      </c>
      <c r="C91" s="1" t="s">
        <v>1058</v>
      </c>
      <c r="D91" s="1" t="s">
        <v>1065</v>
      </c>
      <c r="E91" s="9" t="s">
        <v>1157</v>
      </c>
      <c r="F91" s="9"/>
    </row>
    <row r="92" spans="1:6" x14ac:dyDescent="0.3">
      <c r="A92" t="s">
        <v>257</v>
      </c>
      <c r="B92" s="1" t="s">
        <v>256</v>
      </c>
      <c r="C92" s="1" t="s">
        <v>1058</v>
      </c>
      <c r="D92" s="1" t="s">
        <v>1065</v>
      </c>
      <c r="E92" s="9" t="s">
        <v>1157</v>
      </c>
      <c r="F92" s="9"/>
    </row>
    <row r="93" spans="1:6" x14ac:dyDescent="0.3">
      <c r="A93" t="s">
        <v>147</v>
      </c>
      <c r="B93" s="1" t="s">
        <v>146</v>
      </c>
      <c r="C93" s="1" t="s">
        <v>1058</v>
      </c>
      <c r="D93" s="1" t="s">
        <v>1065</v>
      </c>
      <c r="E93" s="9" t="s">
        <v>1140</v>
      </c>
      <c r="F93" s="9"/>
    </row>
    <row r="94" spans="1:6" x14ac:dyDescent="0.3">
      <c r="A94" t="s">
        <v>143</v>
      </c>
      <c r="B94" s="1" t="s">
        <v>142</v>
      </c>
      <c r="C94" s="1" t="s">
        <v>1058</v>
      </c>
      <c r="D94" s="1" t="s">
        <v>1065</v>
      </c>
      <c r="E94" s="9" t="s">
        <v>1138</v>
      </c>
      <c r="F94" s="9"/>
    </row>
    <row r="95" spans="1:6" x14ac:dyDescent="0.3">
      <c r="A95" t="s">
        <v>145</v>
      </c>
      <c r="B95" s="1" t="s">
        <v>144</v>
      </c>
      <c r="C95" s="1" t="s">
        <v>1058</v>
      </c>
      <c r="D95" s="1" t="s">
        <v>1065</v>
      </c>
      <c r="E95" s="9" t="s">
        <v>1139</v>
      </c>
      <c r="F95" s="9"/>
    </row>
    <row r="96" spans="1:6" x14ac:dyDescent="0.3">
      <c r="A96" t="s">
        <v>149</v>
      </c>
      <c r="B96" s="1" t="s">
        <v>148</v>
      </c>
      <c r="C96" s="1" t="s">
        <v>1058</v>
      </c>
      <c r="D96" s="1" t="s">
        <v>1065</v>
      </c>
      <c r="E96" s="9" t="s">
        <v>1141</v>
      </c>
      <c r="F96" s="9"/>
    </row>
    <row r="97" spans="1:6" x14ac:dyDescent="0.3">
      <c r="A97" t="s">
        <v>151</v>
      </c>
      <c r="B97" s="1" t="s">
        <v>150</v>
      </c>
      <c r="C97" s="1" t="s">
        <v>1058</v>
      </c>
      <c r="D97" s="1" t="s">
        <v>1065</v>
      </c>
      <c r="E97" s="9" t="s">
        <v>1142</v>
      </c>
      <c r="F97" s="9"/>
    </row>
    <row r="98" spans="1:6" x14ac:dyDescent="0.3">
      <c r="A98" t="s">
        <v>153</v>
      </c>
      <c r="B98" s="1" t="s">
        <v>152</v>
      </c>
      <c r="C98" s="1" t="s">
        <v>1058</v>
      </c>
      <c r="D98" s="1" t="s">
        <v>1065</v>
      </c>
      <c r="E98" s="9" t="s">
        <v>1143</v>
      </c>
      <c r="F98" s="9"/>
    </row>
    <row r="99" spans="1:6" x14ac:dyDescent="0.3">
      <c r="A99" t="s">
        <v>155</v>
      </c>
      <c r="B99" s="1" t="s">
        <v>154</v>
      </c>
      <c r="C99" s="1" t="s">
        <v>1058</v>
      </c>
      <c r="D99" s="1" t="s">
        <v>1065</v>
      </c>
      <c r="E99" s="9" t="s">
        <v>1144</v>
      </c>
      <c r="F99" s="9"/>
    </row>
    <row r="100" spans="1:6" x14ac:dyDescent="0.3">
      <c r="A100" t="s">
        <v>189</v>
      </c>
      <c r="B100" s="1" t="s">
        <v>188</v>
      </c>
      <c r="C100" s="1" t="s">
        <v>1058</v>
      </c>
      <c r="D100" s="1" t="s">
        <v>1065</v>
      </c>
      <c r="E100" s="9" t="s">
        <v>1154</v>
      </c>
      <c r="F100" s="9"/>
    </row>
    <row r="101" spans="1:6" x14ac:dyDescent="0.3">
      <c r="A101" t="s">
        <v>187</v>
      </c>
      <c r="B101" s="1" t="s">
        <v>186</v>
      </c>
      <c r="C101" s="1" t="s">
        <v>1058</v>
      </c>
      <c r="D101" s="1" t="s">
        <v>1065</v>
      </c>
      <c r="E101" s="9" t="s">
        <v>1154</v>
      </c>
      <c r="F101" s="9"/>
    </row>
    <row r="102" spans="1:6" x14ac:dyDescent="0.3">
      <c r="A102" t="s">
        <v>191</v>
      </c>
      <c r="B102" s="1" t="s">
        <v>190</v>
      </c>
      <c r="C102" s="1" t="s">
        <v>1058</v>
      </c>
      <c r="D102" s="1" t="s">
        <v>1065</v>
      </c>
      <c r="E102" s="9" t="s">
        <v>1154</v>
      </c>
      <c r="F102" s="9"/>
    </row>
    <row r="103" spans="1:6" x14ac:dyDescent="0.3">
      <c r="A103" t="s">
        <v>197</v>
      </c>
      <c r="B103" s="1" t="s">
        <v>196</v>
      </c>
      <c r="C103" s="1" t="s">
        <v>1058</v>
      </c>
      <c r="D103" s="1" t="s">
        <v>1065</v>
      </c>
      <c r="E103" s="9" t="s">
        <v>1154</v>
      </c>
      <c r="F103" s="9"/>
    </row>
    <row r="104" spans="1:6" x14ac:dyDescent="0.3">
      <c r="A104" t="s">
        <v>193</v>
      </c>
      <c r="B104" s="1" t="s">
        <v>192</v>
      </c>
      <c r="C104" s="1" t="s">
        <v>1058</v>
      </c>
      <c r="D104" s="1" t="s">
        <v>1065</v>
      </c>
      <c r="E104" s="9" t="s">
        <v>1154</v>
      </c>
      <c r="F104" s="9"/>
    </row>
    <row r="105" spans="1:6" x14ac:dyDescent="0.3">
      <c r="A105" t="s">
        <v>195</v>
      </c>
      <c r="B105" s="1" t="s">
        <v>194</v>
      </c>
      <c r="C105" s="1" t="s">
        <v>1058</v>
      </c>
      <c r="D105" s="1" t="s">
        <v>1065</v>
      </c>
      <c r="E105" s="9" t="s">
        <v>1154</v>
      </c>
      <c r="F105" s="9"/>
    </row>
    <row r="106" spans="1:6" x14ac:dyDescent="0.3">
      <c r="A106" t="s">
        <v>359</v>
      </c>
      <c r="B106" s="1" t="s">
        <v>358</v>
      </c>
      <c r="C106" s="1" t="s">
        <v>1033</v>
      </c>
      <c r="D106" s="1" t="s">
        <v>1034</v>
      </c>
      <c r="E106" s="9" t="s">
        <v>1197</v>
      </c>
      <c r="F106" s="9"/>
    </row>
    <row r="107" spans="1:6" x14ac:dyDescent="0.3">
      <c r="A107" t="s">
        <v>357</v>
      </c>
      <c r="B107" s="1" t="s">
        <v>356</v>
      </c>
      <c r="C107" s="1" t="s">
        <v>1033</v>
      </c>
      <c r="D107" s="1" t="s">
        <v>1034</v>
      </c>
      <c r="E107" s="9" t="s">
        <v>1196</v>
      </c>
      <c r="F107" s="9"/>
    </row>
    <row r="108" spans="1:6" x14ac:dyDescent="0.3">
      <c r="A108" t="s">
        <v>125</v>
      </c>
      <c r="B108" s="1" t="s">
        <v>124</v>
      </c>
      <c r="C108" s="1" t="s">
        <v>1033</v>
      </c>
      <c r="D108" s="1" t="s">
        <v>1034</v>
      </c>
      <c r="E108" s="9" t="s">
        <v>1129</v>
      </c>
      <c r="F108" s="9"/>
    </row>
    <row r="109" spans="1:6" x14ac:dyDescent="0.3">
      <c r="A109" t="s">
        <v>123</v>
      </c>
      <c r="B109" s="1" t="s">
        <v>122</v>
      </c>
      <c r="C109" s="1" t="s">
        <v>1033</v>
      </c>
      <c r="D109" s="1" t="s">
        <v>1034</v>
      </c>
      <c r="E109" s="9" t="s">
        <v>1128</v>
      </c>
      <c r="F109" s="9"/>
    </row>
    <row r="110" spans="1:6" x14ac:dyDescent="0.3">
      <c r="A110" t="s">
        <v>121</v>
      </c>
      <c r="B110" s="1" t="s">
        <v>120</v>
      </c>
      <c r="C110" s="1" t="s">
        <v>1033</v>
      </c>
      <c r="D110" s="1" t="s">
        <v>1034</v>
      </c>
      <c r="E110" s="9" t="s">
        <v>1127</v>
      </c>
      <c r="F110" s="9"/>
    </row>
    <row r="111" spans="1:6" x14ac:dyDescent="0.3">
      <c r="A111" t="s">
        <v>199</v>
      </c>
      <c r="B111" s="1" t="s">
        <v>198</v>
      </c>
      <c r="C111" s="1" t="s">
        <v>1058</v>
      </c>
      <c r="D111" s="1" t="s">
        <v>1065</v>
      </c>
      <c r="E111" s="9" t="s">
        <v>1154</v>
      </c>
      <c r="F111" s="9"/>
    </row>
    <row r="112" spans="1:6" x14ac:dyDescent="0.3">
      <c r="A112" t="s">
        <v>159</v>
      </c>
      <c r="B112" s="1" t="s">
        <v>158</v>
      </c>
      <c r="C112" s="1" t="s">
        <v>1058</v>
      </c>
      <c r="D112" s="1" t="s">
        <v>1065</v>
      </c>
      <c r="E112" s="9" t="s">
        <v>1146</v>
      </c>
      <c r="F112" s="9"/>
    </row>
    <row r="113" spans="1:6" x14ac:dyDescent="0.3">
      <c r="A113" t="s">
        <v>217</v>
      </c>
      <c r="B113" s="1" t="s">
        <v>216</v>
      </c>
      <c r="C113" s="1" t="s">
        <v>1058</v>
      </c>
      <c r="D113" s="1" t="s">
        <v>1065</v>
      </c>
      <c r="E113" s="9" t="s">
        <v>1154</v>
      </c>
      <c r="F113" s="9"/>
    </row>
    <row r="114" spans="1:6" x14ac:dyDescent="0.3">
      <c r="A114" t="s">
        <v>213</v>
      </c>
      <c r="B114" s="1" t="s">
        <v>212</v>
      </c>
      <c r="C114" s="1" t="s">
        <v>1058</v>
      </c>
      <c r="D114" s="1" t="s">
        <v>1065</v>
      </c>
      <c r="E114" s="9" t="s">
        <v>1154</v>
      </c>
      <c r="F114" s="9"/>
    </row>
    <row r="115" spans="1:6" x14ac:dyDescent="0.3">
      <c r="A115" t="s">
        <v>215</v>
      </c>
      <c r="B115" s="1" t="s">
        <v>214</v>
      </c>
      <c r="C115" s="1" t="s">
        <v>1058</v>
      </c>
      <c r="D115" s="1" t="s">
        <v>1065</v>
      </c>
      <c r="E115" s="9" t="s">
        <v>1154</v>
      </c>
      <c r="F115" s="9"/>
    </row>
    <row r="116" spans="1:6" x14ac:dyDescent="0.3">
      <c r="A116" t="s">
        <v>219</v>
      </c>
      <c r="B116" s="1" t="s">
        <v>218</v>
      </c>
      <c r="C116" s="1" t="s">
        <v>1058</v>
      </c>
      <c r="D116" s="1" t="s">
        <v>1065</v>
      </c>
      <c r="E116" s="9" t="s">
        <v>1154</v>
      </c>
      <c r="F116" s="9"/>
    </row>
    <row r="117" spans="1:6" x14ac:dyDescent="0.3">
      <c r="A117" t="s">
        <v>233</v>
      </c>
      <c r="B117" s="1" t="s">
        <v>232</v>
      </c>
      <c r="C117" s="1" t="s">
        <v>1058</v>
      </c>
      <c r="D117" s="1" t="s">
        <v>1065</v>
      </c>
      <c r="E117" s="9" t="s">
        <v>1154</v>
      </c>
      <c r="F117" s="9"/>
    </row>
    <row r="118" spans="1:6" x14ac:dyDescent="0.3">
      <c r="A118" t="s">
        <v>229</v>
      </c>
      <c r="B118" s="1" t="s">
        <v>228</v>
      </c>
      <c r="C118" s="1" t="s">
        <v>1058</v>
      </c>
      <c r="D118" s="1" t="s">
        <v>1065</v>
      </c>
      <c r="E118" s="9" t="s">
        <v>1154</v>
      </c>
      <c r="F118" s="9"/>
    </row>
    <row r="119" spans="1:6" x14ac:dyDescent="0.3">
      <c r="A119" t="s">
        <v>231</v>
      </c>
      <c r="B119" s="1" t="s">
        <v>230</v>
      </c>
      <c r="C119" s="1" t="s">
        <v>1058</v>
      </c>
      <c r="D119" s="1" t="s">
        <v>1065</v>
      </c>
      <c r="E119" s="9" t="s">
        <v>1154</v>
      </c>
      <c r="F119" s="9"/>
    </row>
    <row r="120" spans="1:6" x14ac:dyDescent="0.3">
      <c r="A120" t="s">
        <v>235</v>
      </c>
      <c r="B120" s="1" t="s">
        <v>234</v>
      </c>
      <c r="C120" s="1" t="s">
        <v>1058</v>
      </c>
      <c r="D120" s="1" t="s">
        <v>1065</v>
      </c>
      <c r="E120" s="9" t="s">
        <v>1154</v>
      </c>
      <c r="F120" s="9"/>
    </row>
    <row r="121" spans="1:6" x14ac:dyDescent="0.3">
      <c r="A121" t="s">
        <v>223</v>
      </c>
      <c r="B121" s="1" t="s">
        <v>222</v>
      </c>
      <c r="C121" s="1" t="s">
        <v>1058</v>
      </c>
      <c r="D121" s="1" t="s">
        <v>1065</v>
      </c>
      <c r="E121" s="9" t="s">
        <v>1154</v>
      </c>
      <c r="F121" s="9"/>
    </row>
    <row r="122" spans="1:6" x14ac:dyDescent="0.3">
      <c r="A122" t="s">
        <v>227</v>
      </c>
      <c r="B122" s="1" t="s">
        <v>226</v>
      </c>
      <c r="C122" s="1" t="s">
        <v>1058</v>
      </c>
      <c r="D122" s="1" t="s">
        <v>1065</v>
      </c>
      <c r="E122" s="9" t="s">
        <v>1154</v>
      </c>
      <c r="F122" s="9"/>
    </row>
    <row r="123" spans="1:6" x14ac:dyDescent="0.3">
      <c r="A123" t="s">
        <v>225</v>
      </c>
      <c r="B123" s="1" t="s">
        <v>224</v>
      </c>
      <c r="C123" s="1" t="s">
        <v>1058</v>
      </c>
      <c r="D123" s="1" t="s">
        <v>1065</v>
      </c>
      <c r="E123" s="9" t="s">
        <v>1154</v>
      </c>
      <c r="F123" s="9"/>
    </row>
    <row r="124" spans="1:6" x14ac:dyDescent="0.3">
      <c r="A124" t="s">
        <v>221</v>
      </c>
      <c r="B124" s="1" t="s">
        <v>220</v>
      </c>
      <c r="C124" s="1" t="s">
        <v>1058</v>
      </c>
      <c r="D124" s="1" t="s">
        <v>1065</v>
      </c>
      <c r="E124" s="9" t="s">
        <v>1154</v>
      </c>
      <c r="F124" s="9"/>
    </row>
    <row r="125" spans="1:6" x14ac:dyDescent="0.3">
      <c r="A125" t="s">
        <v>161</v>
      </c>
      <c r="B125" s="1" t="s">
        <v>160</v>
      </c>
      <c r="C125" s="1" t="s">
        <v>1058</v>
      </c>
      <c r="D125" s="1" t="s">
        <v>1065</v>
      </c>
      <c r="E125" s="9" t="s">
        <v>1147</v>
      </c>
      <c r="F125" s="9"/>
    </row>
    <row r="126" spans="1:6" x14ac:dyDescent="0.3">
      <c r="A126" t="s">
        <v>157</v>
      </c>
      <c r="B126" s="1" t="s">
        <v>156</v>
      </c>
      <c r="C126" s="1" t="s">
        <v>1058</v>
      </c>
      <c r="D126" s="1" t="s">
        <v>1065</v>
      </c>
      <c r="E126" s="9" t="s">
        <v>1145</v>
      </c>
      <c r="F126" s="9"/>
    </row>
    <row r="127" spans="1:6" x14ac:dyDescent="0.3">
      <c r="A127" t="s">
        <v>267</v>
      </c>
      <c r="B127" s="1" t="s">
        <v>266</v>
      </c>
      <c r="C127" s="1" t="s">
        <v>1058</v>
      </c>
      <c r="D127" s="1" t="s">
        <v>1065</v>
      </c>
      <c r="E127" s="9" t="s">
        <v>1157</v>
      </c>
      <c r="F127" s="9"/>
    </row>
    <row r="128" spans="1:6" x14ac:dyDescent="0.3">
      <c r="A128" t="s">
        <v>271</v>
      </c>
      <c r="B128" s="1" t="s">
        <v>270</v>
      </c>
      <c r="C128" s="1" t="s">
        <v>1058</v>
      </c>
      <c r="D128" s="1" t="s">
        <v>1065</v>
      </c>
      <c r="E128" s="9" t="s">
        <v>1157</v>
      </c>
      <c r="F128" s="9"/>
    </row>
    <row r="129" spans="1:6" x14ac:dyDescent="0.3">
      <c r="A129" t="s">
        <v>269</v>
      </c>
      <c r="B129" s="1" t="s">
        <v>268</v>
      </c>
      <c r="C129" s="1" t="s">
        <v>1058</v>
      </c>
      <c r="D129" s="1" t="s">
        <v>1065</v>
      </c>
      <c r="E129" s="9" t="s">
        <v>1157</v>
      </c>
      <c r="F129" s="9"/>
    </row>
    <row r="130" spans="1:6" x14ac:dyDescent="0.3">
      <c r="A130" t="s">
        <v>273</v>
      </c>
      <c r="B130" s="1" t="s">
        <v>272</v>
      </c>
      <c r="C130" s="1" t="s">
        <v>1058</v>
      </c>
      <c r="D130" s="1" t="s">
        <v>1065</v>
      </c>
      <c r="E130" s="9" t="s">
        <v>1157</v>
      </c>
      <c r="F130" s="9"/>
    </row>
    <row r="131" spans="1:6" x14ac:dyDescent="0.3">
      <c r="A131" t="s">
        <v>906</v>
      </c>
      <c r="B131" s="1" t="s">
        <v>905</v>
      </c>
      <c r="C131" s="1" t="s">
        <v>1058</v>
      </c>
      <c r="D131" s="1" t="s">
        <v>1065</v>
      </c>
      <c r="E131" s="9" t="s">
        <v>1423</v>
      </c>
      <c r="F131" s="9"/>
    </row>
    <row r="132" spans="1:6" x14ac:dyDescent="0.3">
      <c r="A132" t="s">
        <v>972</v>
      </c>
      <c r="B132" s="1" t="s">
        <v>971</v>
      </c>
      <c r="C132" s="1" t="s">
        <v>1058</v>
      </c>
      <c r="D132" s="1" t="s">
        <v>1065</v>
      </c>
      <c r="E132" s="9" t="s">
        <v>1423</v>
      </c>
      <c r="F132" s="9"/>
    </row>
    <row r="133" spans="1:6" x14ac:dyDescent="0.3">
      <c r="A133" t="s">
        <v>974</v>
      </c>
      <c r="B133" s="1" t="s">
        <v>973</v>
      </c>
      <c r="C133" s="1" t="s">
        <v>1058</v>
      </c>
      <c r="D133" s="1" t="s">
        <v>1065</v>
      </c>
      <c r="E133" s="9" t="s">
        <v>1423</v>
      </c>
      <c r="F133" s="9"/>
    </row>
    <row r="134" spans="1:6" x14ac:dyDescent="0.3">
      <c r="A134" t="s">
        <v>976</v>
      </c>
      <c r="B134" s="1" t="s">
        <v>975</v>
      </c>
      <c r="C134" s="1" t="s">
        <v>1058</v>
      </c>
      <c r="D134" s="1" t="s">
        <v>1065</v>
      </c>
      <c r="E134" s="9" t="s">
        <v>1423</v>
      </c>
      <c r="F134" s="9"/>
    </row>
    <row r="135" spans="1:6" x14ac:dyDescent="0.3">
      <c r="A135" t="s">
        <v>978</v>
      </c>
      <c r="B135" s="1" t="s">
        <v>977</v>
      </c>
      <c r="C135" s="1" t="s">
        <v>1058</v>
      </c>
      <c r="D135" s="1" t="s">
        <v>1065</v>
      </c>
      <c r="E135" s="9" t="s">
        <v>1423</v>
      </c>
      <c r="F135" s="9"/>
    </row>
    <row r="136" spans="1:6" x14ac:dyDescent="0.3">
      <c r="A136" t="s">
        <v>980</v>
      </c>
      <c r="B136" s="1" t="s">
        <v>979</v>
      </c>
      <c r="C136" s="1" t="s">
        <v>1058</v>
      </c>
      <c r="D136" s="1" t="s">
        <v>1065</v>
      </c>
      <c r="E136" s="9" t="s">
        <v>1423</v>
      </c>
      <c r="F136" s="9"/>
    </row>
    <row r="137" spans="1:6" x14ac:dyDescent="0.3">
      <c r="A137" t="s">
        <v>982</v>
      </c>
      <c r="B137" s="1" t="s">
        <v>981</v>
      </c>
      <c r="C137" s="1" t="s">
        <v>1058</v>
      </c>
      <c r="D137" s="1" t="s">
        <v>1065</v>
      </c>
      <c r="E137" s="9" t="s">
        <v>1423</v>
      </c>
      <c r="F137" s="9"/>
    </row>
    <row r="138" spans="1:6" x14ac:dyDescent="0.3">
      <c r="A138" t="s">
        <v>984</v>
      </c>
      <c r="B138" s="1" t="s">
        <v>983</v>
      </c>
      <c r="C138" s="1" t="s">
        <v>1058</v>
      </c>
      <c r="D138" s="1" t="s">
        <v>1065</v>
      </c>
      <c r="E138" s="9" t="s">
        <v>1423</v>
      </c>
      <c r="F138" s="9"/>
    </row>
    <row r="139" spans="1:6" x14ac:dyDescent="0.3">
      <c r="A139" t="s">
        <v>986</v>
      </c>
      <c r="B139" s="1" t="s">
        <v>985</v>
      </c>
      <c r="C139" s="1" t="s">
        <v>1058</v>
      </c>
      <c r="D139" s="1" t="s">
        <v>1065</v>
      </c>
      <c r="E139" s="9" t="s">
        <v>1423</v>
      </c>
      <c r="F139" s="9"/>
    </row>
    <row r="140" spans="1:6" x14ac:dyDescent="0.3">
      <c r="A140" t="s">
        <v>964</v>
      </c>
      <c r="B140" s="1" t="s">
        <v>963</v>
      </c>
      <c r="C140" s="1" t="s">
        <v>1058</v>
      </c>
      <c r="D140" s="1" t="s">
        <v>1065</v>
      </c>
      <c r="E140" s="9" t="s">
        <v>1423</v>
      </c>
      <c r="F140" s="9"/>
    </row>
    <row r="141" spans="1:6" x14ac:dyDescent="0.3">
      <c r="A141" t="s">
        <v>966</v>
      </c>
      <c r="B141" s="1" t="s">
        <v>965</v>
      </c>
      <c r="C141" s="1" t="s">
        <v>1058</v>
      </c>
      <c r="D141" s="1" t="s">
        <v>1065</v>
      </c>
      <c r="E141" s="9" t="s">
        <v>1423</v>
      </c>
      <c r="F141" s="9"/>
    </row>
    <row r="142" spans="1:6" x14ac:dyDescent="0.3">
      <c r="A142" t="s">
        <v>970</v>
      </c>
      <c r="B142" s="1" t="s">
        <v>969</v>
      </c>
      <c r="C142" s="1" t="s">
        <v>1058</v>
      </c>
      <c r="D142" s="1" t="s">
        <v>1065</v>
      </c>
      <c r="E142" s="9" t="s">
        <v>1423</v>
      </c>
      <c r="F142" s="9"/>
    </row>
    <row r="143" spans="1:6" x14ac:dyDescent="0.3">
      <c r="A143" t="s">
        <v>968</v>
      </c>
      <c r="B143" s="1" t="s">
        <v>967</v>
      </c>
      <c r="C143" s="1" t="s">
        <v>1058</v>
      </c>
      <c r="D143" s="1" t="s">
        <v>1065</v>
      </c>
      <c r="E143" s="9" t="s">
        <v>1423</v>
      </c>
      <c r="F143" s="9"/>
    </row>
    <row r="144" spans="1:6" x14ac:dyDescent="0.3">
      <c r="A144" t="s">
        <v>56</v>
      </c>
      <c r="B144" s="1" t="s">
        <v>1569</v>
      </c>
      <c r="C144" s="1" t="s">
        <v>1046</v>
      </c>
      <c r="D144" s="1" t="s">
        <v>1050</v>
      </c>
      <c r="E144" s="9" t="s">
        <v>1095</v>
      </c>
      <c r="F144" s="9"/>
    </row>
    <row r="145" spans="1:6" x14ac:dyDescent="0.3">
      <c r="A145" t="s">
        <v>922</v>
      </c>
      <c r="B145" s="1" t="s">
        <v>921</v>
      </c>
      <c r="C145" s="1" t="s">
        <v>1058</v>
      </c>
      <c r="D145" s="1" t="s">
        <v>1065</v>
      </c>
      <c r="E145" s="9" t="s">
        <v>1423</v>
      </c>
      <c r="F145" s="9"/>
    </row>
    <row r="146" spans="1:6" x14ac:dyDescent="0.3">
      <c r="A146" t="s">
        <v>924</v>
      </c>
      <c r="B146" s="1" t="s">
        <v>923</v>
      </c>
      <c r="C146" s="1" t="s">
        <v>1058</v>
      </c>
      <c r="D146" s="1" t="s">
        <v>1065</v>
      </c>
      <c r="E146" s="9" t="s">
        <v>1423</v>
      </c>
      <c r="F146" s="9"/>
    </row>
    <row r="147" spans="1:6" x14ac:dyDescent="0.3">
      <c r="A147" t="s">
        <v>902</v>
      </c>
      <c r="B147" s="1" t="s">
        <v>901</v>
      </c>
      <c r="C147" s="1" t="s">
        <v>1058</v>
      </c>
      <c r="D147" s="1" t="s">
        <v>1065</v>
      </c>
      <c r="E147" s="9" t="s">
        <v>1423</v>
      </c>
      <c r="F147" s="9"/>
    </row>
    <row r="148" spans="1:6" x14ac:dyDescent="0.3">
      <c r="A148" t="s">
        <v>930</v>
      </c>
      <c r="B148" s="1" t="s">
        <v>929</v>
      </c>
      <c r="C148" s="1" t="s">
        <v>1058</v>
      </c>
      <c r="D148" s="1" t="s">
        <v>1065</v>
      </c>
      <c r="E148" s="9" t="s">
        <v>1423</v>
      </c>
      <c r="F148" s="9"/>
    </row>
    <row r="149" spans="1:6" x14ac:dyDescent="0.3">
      <c r="A149" t="s">
        <v>904</v>
      </c>
      <c r="B149" s="1" t="s">
        <v>903</v>
      </c>
      <c r="C149" s="1" t="s">
        <v>1058</v>
      </c>
      <c r="D149" s="1" t="s">
        <v>1065</v>
      </c>
      <c r="E149" s="9" t="s">
        <v>1423</v>
      </c>
      <c r="F149" s="9"/>
    </row>
    <row r="150" spans="1:6" x14ac:dyDescent="0.3">
      <c r="A150" t="s">
        <v>888</v>
      </c>
      <c r="B150" s="1" t="s">
        <v>887</v>
      </c>
      <c r="C150" s="1" t="s">
        <v>1058</v>
      </c>
      <c r="D150" s="1" t="s">
        <v>1065</v>
      </c>
      <c r="E150" s="9" t="s">
        <v>1423</v>
      </c>
      <c r="F150" s="9"/>
    </row>
    <row r="151" spans="1:6" x14ac:dyDescent="0.3">
      <c r="A151" t="s">
        <v>908</v>
      </c>
      <c r="B151" s="1" t="s">
        <v>907</v>
      </c>
      <c r="C151" s="1" t="s">
        <v>1058</v>
      </c>
      <c r="D151" s="1" t="s">
        <v>1065</v>
      </c>
      <c r="E151" s="9" t="s">
        <v>1426</v>
      </c>
      <c r="F151" s="9"/>
    </row>
    <row r="152" spans="1:6" x14ac:dyDescent="0.3">
      <c r="A152" t="s">
        <v>894</v>
      </c>
      <c r="B152" s="1" t="s">
        <v>893</v>
      </c>
      <c r="C152" s="1" t="s">
        <v>1058</v>
      </c>
      <c r="D152" s="1" t="s">
        <v>1065</v>
      </c>
      <c r="E152" s="9" t="s">
        <v>1423</v>
      </c>
      <c r="F152" s="9"/>
    </row>
    <row r="153" spans="1:6" x14ac:dyDescent="0.3">
      <c r="A153" t="s">
        <v>940</v>
      </c>
      <c r="B153" s="1" t="s">
        <v>939</v>
      </c>
      <c r="C153" s="1" t="s">
        <v>1058</v>
      </c>
      <c r="D153" s="1" t="s">
        <v>1065</v>
      </c>
      <c r="E153" s="9" t="s">
        <v>1423</v>
      </c>
      <c r="F153" s="9"/>
    </row>
    <row r="154" spans="1:6" x14ac:dyDescent="0.3">
      <c r="A154" t="s">
        <v>988</v>
      </c>
      <c r="B154" s="1" t="s">
        <v>987</v>
      </c>
      <c r="C154" s="1" t="s">
        <v>1058</v>
      </c>
      <c r="D154" s="1" t="s">
        <v>1065</v>
      </c>
      <c r="E154" s="9" t="s">
        <v>1423</v>
      </c>
      <c r="F154" s="9"/>
    </row>
    <row r="155" spans="1:6" x14ac:dyDescent="0.3">
      <c r="A155" t="s">
        <v>992</v>
      </c>
      <c r="B155" s="1" t="s">
        <v>991</v>
      </c>
      <c r="C155" s="1" t="s">
        <v>1058</v>
      </c>
      <c r="D155" s="1" t="s">
        <v>1065</v>
      </c>
      <c r="E155" s="9" t="s">
        <v>1423</v>
      </c>
      <c r="F155" s="9"/>
    </row>
    <row r="156" spans="1:6" x14ac:dyDescent="0.3">
      <c r="A156" t="s">
        <v>990</v>
      </c>
      <c r="B156" s="1" t="s">
        <v>989</v>
      </c>
      <c r="C156" s="1" t="s">
        <v>1058</v>
      </c>
      <c r="D156" s="1" t="s">
        <v>1065</v>
      </c>
      <c r="E156" s="9" t="s">
        <v>1423</v>
      </c>
      <c r="F156" s="9"/>
    </row>
    <row r="157" spans="1:6" x14ac:dyDescent="0.3">
      <c r="A157" t="s">
        <v>994</v>
      </c>
      <c r="B157" s="1" t="s">
        <v>993</v>
      </c>
      <c r="C157" s="1" t="s">
        <v>1058</v>
      </c>
      <c r="D157" s="1" t="s">
        <v>1065</v>
      </c>
      <c r="E157" s="9" t="s">
        <v>1423</v>
      </c>
      <c r="F157" s="9"/>
    </row>
    <row r="158" spans="1:6" x14ac:dyDescent="0.3">
      <c r="A158" t="s">
        <v>519</v>
      </c>
      <c r="B158" s="1" t="s">
        <v>518</v>
      </c>
      <c r="C158" s="1" t="s">
        <v>1033</v>
      </c>
      <c r="D158" s="1" t="s">
        <v>1036</v>
      </c>
      <c r="E158" s="9" t="s">
        <v>1272</v>
      </c>
      <c r="F158" s="9"/>
    </row>
    <row r="159" spans="1:6" x14ac:dyDescent="0.3">
      <c r="A159" t="s">
        <v>548</v>
      </c>
      <c r="B159" s="1" t="s">
        <v>547</v>
      </c>
      <c r="C159" s="1" t="s">
        <v>1033</v>
      </c>
      <c r="D159" s="1" t="s">
        <v>1036</v>
      </c>
      <c r="E159" s="9" t="s">
        <v>1285</v>
      </c>
      <c r="F159" s="9"/>
    </row>
    <row r="160" spans="1:6" x14ac:dyDescent="0.3">
      <c r="A160" t="s">
        <v>696</v>
      </c>
      <c r="B160" s="1" t="s">
        <v>695</v>
      </c>
      <c r="C160" s="1" t="s">
        <v>1051</v>
      </c>
      <c r="D160" s="1" t="s">
        <v>1052</v>
      </c>
      <c r="E160" s="9" t="s">
        <v>1345</v>
      </c>
      <c r="F160" s="9"/>
    </row>
    <row r="161" spans="1:6" x14ac:dyDescent="0.3">
      <c r="A161" t="s">
        <v>698</v>
      </c>
      <c r="B161" s="1" t="s">
        <v>697</v>
      </c>
      <c r="C161" s="1" t="s">
        <v>1051</v>
      </c>
      <c r="D161" s="1" t="s">
        <v>1052</v>
      </c>
      <c r="E161" s="9" t="s">
        <v>1344</v>
      </c>
      <c r="F161" s="9"/>
    </row>
    <row r="162" spans="1:6" x14ac:dyDescent="0.3">
      <c r="A162" t="s">
        <v>706</v>
      </c>
      <c r="B162" s="1" t="s">
        <v>705</v>
      </c>
      <c r="C162" s="1" t="s">
        <v>1051</v>
      </c>
      <c r="D162" s="1" t="s">
        <v>1052</v>
      </c>
      <c r="E162" s="9" t="s">
        <v>1345</v>
      </c>
      <c r="F162" s="9"/>
    </row>
    <row r="163" spans="1:6" x14ac:dyDescent="0.3">
      <c r="A163" t="s">
        <v>702</v>
      </c>
      <c r="B163" s="1" t="s">
        <v>701</v>
      </c>
      <c r="C163" s="1" t="s">
        <v>1051</v>
      </c>
      <c r="D163" s="1" t="s">
        <v>1052</v>
      </c>
      <c r="E163" s="9" t="s">
        <v>1345</v>
      </c>
      <c r="F163" s="9"/>
    </row>
    <row r="164" spans="1:6" x14ac:dyDescent="0.3">
      <c r="A164" t="s">
        <v>704</v>
      </c>
      <c r="B164" s="1" t="s">
        <v>703</v>
      </c>
      <c r="C164" s="1" t="s">
        <v>1051</v>
      </c>
      <c r="D164" s="1" t="s">
        <v>1052</v>
      </c>
      <c r="E164" s="9" t="s">
        <v>1344</v>
      </c>
      <c r="F164" s="9"/>
    </row>
    <row r="165" spans="1:6" x14ac:dyDescent="0.3">
      <c r="A165" t="s">
        <v>700</v>
      </c>
      <c r="B165" s="1" t="s">
        <v>699</v>
      </c>
      <c r="C165" s="1" t="s">
        <v>1051</v>
      </c>
      <c r="D165" s="1" t="s">
        <v>1052</v>
      </c>
      <c r="E165" s="9" t="s">
        <v>1344</v>
      </c>
      <c r="F165" s="9"/>
    </row>
    <row r="166" spans="1:6" x14ac:dyDescent="0.3">
      <c r="A166" t="s">
        <v>674</v>
      </c>
      <c r="B166" s="1" t="s">
        <v>673</v>
      </c>
      <c r="C166" s="1" t="s">
        <v>1058</v>
      </c>
      <c r="D166" s="1" t="s">
        <v>1045</v>
      </c>
      <c r="E166" s="9" t="s">
        <v>1336</v>
      </c>
      <c r="F166" s="9"/>
    </row>
    <row r="167" spans="1:6" x14ac:dyDescent="0.3">
      <c r="A167" t="s">
        <v>387</v>
      </c>
      <c r="B167" s="1" t="s">
        <v>386</v>
      </c>
      <c r="C167" s="1" t="s">
        <v>1033</v>
      </c>
      <c r="D167" s="1" t="s">
        <v>1034</v>
      </c>
      <c r="E167" s="9" t="s">
        <v>1210</v>
      </c>
      <c r="F167" s="9"/>
    </row>
    <row r="168" spans="1:6" x14ac:dyDescent="0.3">
      <c r="A168" t="s">
        <v>604</v>
      </c>
      <c r="B168" s="1" t="s">
        <v>603</v>
      </c>
      <c r="C168" s="1" t="s">
        <v>1058</v>
      </c>
      <c r="D168" s="1" t="s">
        <v>1065</v>
      </c>
      <c r="E168" s="9" t="s">
        <v>1309</v>
      </c>
      <c r="F168" s="9"/>
    </row>
    <row r="169" spans="1:6" x14ac:dyDescent="0.3">
      <c r="A169" t="s">
        <v>606</v>
      </c>
      <c r="B169" s="1" t="s">
        <v>605</v>
      </c>
      <c r="C169" s="1" t="s">
        <v>1058</v>
      </c>
      <c r="D169" s="1" t="s">
        <v>1065</v>
      </c>
      <c r="E169" s="9" t="s">
        <v>1310</v>
      </c>
      <c r="F169" s="9"/>
    </row>
    <row r="170" spans="1:6" x14ac:dyDescent="0.3">
      <c r="A170" t="s">
        <v>608</v>
      </c>
      <c r="B170" s="1" t="s">
        <v>607</v>
      </c>
      <c r="C170" s="1" t="s">
        <v>1058</v>
      </c>
      <c r="D170" s="1" t="s">
        <v>1065</v>
      </c>
      <c r="E170" s="9" t="s">
        <v>1311</v>
      </c>
      <c r="F170" s="9"/>
    </row>
    <row r="171" spans="1:6" x14ac:dyDescent="0.3">
      <c r="A171" t="s">
        <v>610</v>
      </c>
      <c r="B171" s="1" t="s">
        <v>609</v>
      </c>
      <c r="C171" s="1" t="s">
        <v>1058</v>
      </c>
      <c r="D171" s="1" t="s">
        <v>1065</v>
      </c>
      <c r="E171" s="9" t="s">
        <v>1312</v>
      </c>
      <c r="F171" s="9"/>
    </row>
    <row r="172" spans="1:6" x14ac:dyDescent="0.3">
      <c r="A172" t="s">
        <v>556</v>
      </c>
      <c r="B172" s="1" t="s">
        <v>555</v>
      </c>
      <c r="C172" s="1" t="s">
        <v>1033</v>
      </c>
      <c r="D172" s="1" t="s">
        <v>1036</v>
      </c>
      <c r="E172" s="9" t="s">
        <v>1288</v>
      </c>
      <c r="F172" s="9"/>
    </row>
    <row r="173" spans="1:6" x14ac:dyDescent="0.3">
      <c r="A173" t="s">
        <v>105</v>
      </c>
      <c r="B173" s="1" t="s">
        <v>104</v>
      </c>
      <c r="C173" s="1" t="s">
        <v>1033</v>
      </c>
      <c r="D173" s="1" t="s">
        <v>1035</v>
      </c>
      <c r="E173" s="9" t="s">
        <v>1119</v>
      </c>
      <c r="F173" s="9"/>
    </row>
    <row r="174" spans="1:6" x14ac:dyDescent="0.3">
      <c r="A174" t="s">
        <v>103</v>
      </c>
      <c r="B174" s="1" t="s">
        <v>102</v>
      </c>
      <c r="C174" s="1" t="s">
        <v>1033</v>
      </c>
      <c r="D174" s="1" t="s">
        <v>1035</v>
      </c>
      <c r="E174" s="9" t="s">
        <v>1118</v>
      </c>
      <c r="F174" s="9"/>
    </row>
    <row r="175" spans="1:6" x14ac:dyDescent="0.3">
      <c r="A175" t="s">
        <v>798</v>
      </c>
      <c r="B175" s="1" t="s">
        <v>797</v>
      </c>
      <c r="C175" s="1" t="s">
        <v>1046</v>
      </c>
      <c r="D175" s="1" t="s">
        <v>1047</v>
      </c>
      <c r="E175" s="9" t="s">
        <v>1390</v>
      </c>
      <c r="F175" s="9"/>
    </row>
    <row r="176" spans="1:6" x14ac:dyDescent="0.3">
      <c r="A176" t="s">
        <v>405</v>
      </c>
      <c r="B176" s="1" t="s">
        <v>404</v>
      </c>
      <c r="C176" s="1" t="s">
        <v>1053</v>
      </c>
      <c r="D176" s="1" t="s">
        <v>1054</v>
      </c>
      <c r="E176" s="9" t="s">
        <v>1219</v>
      </c>
      <c r="F176" s="9"/>
    </row>
    <row r="177" spans="1:6" x14ac:dyDescent="0.3">
      <c r="A177" t="s">
        <v>788</v>
      </c>
      <c r="B177" s="1" t="s">
        <v>787</v>
      </c>
      <c r="C177" s="1" t="s">
        <v>1055</v>
      </c>
      <c r="D177" s="1" t="s">
        <v>1069</v>
      </c>
      <c r="E177" s="9" t="s">
        <v>1385</v>
      </c>
      <c r="F177" s="9"/>
    </row>
    <row r="178" spans="1:6" x14ac:dyDescent="0.3">
      <c r="A178" t="s">
        <v>403</v>
      </c>
      <c r="B178" s="1" t="s">
        <v>402</v>
      </c>
      <c r="C178" s="1" t="s">
        <v>1033</v>
      </c>
      <c r="D178" s="1" t="s">
        <v>1034</v>
      </c>
      <c r="E178" s="9" t="s">
        <v>1218</v>
      </c>
      <c r="F178" s="9"/>
    </row>
    <row r="179" spans="1:6" x14ac:dyDescent="0.3">
      <c r="A179" t="s">
        <v>395</v>
      </c>
      <c r="B179" s="1" t="s">
        <v>394</v>
      </c>
      <c r="C179" s="1" t="s">
        <v>1033</v>
      </c>
      <c r="D179" s="1" t="s">
        <v>1034</v>
      </c>
      <c r="E179" s="9" t="s">
        <v>1214</v>
      </c>
      <c r="F179" s="9"/>
    </row>
    <row r="180" spans="1:6" x14ac:dyDescent="0.3">
      <c r="A180" t="s">
        <v>397</v>
      </c>
      <c r="B180" s="1" t="s">
        <v>396</v>
      </c>
      <c r="C180" s="1" t="s">
        <v>1033</v>
      </c>
      <c r="D180" s="1" t="s">
        <v>1034</v>
      </c>
      <c r="E180" s="9" t="s">
        <v>1215</v>
      </c>
      <c r="F180" s="9"/>
    </row>
    <row r="181" spans="1:6" x14ac:dyDescent="0.3">
      <c r="A181" t="s">
        <v>399</v>
      </c>
      <c r="B181" s="1" t="s">
        <v>398</v>
      </c>
      <c r="C181" s="1" t="s">
        <v>1033</v>
      </c>
      <c r="D181" s="1" t="s">
        <v>1034</v>
      </c>
      <c r="E181" s="9" t="s">
        <v>1216</v>
      </c>
      <c r="F181" s="9"/>
    </row>
    <row r="182" spans="1:6" x14ac:dyDescent="0.3">
      <c r="A182" t="s">
        <v>892</v>
      </c>
      <c r="B182" s="1" t="s">
        <v>891</v>
      </c>
      <c r="C182" s="1" t="s">
        <v>1058</v>
      </c>
      <c r="D182" s="1" t="s">
        <v>1065</v>
      </c>
      <c r="E182" s="9" t="s">
        <v>1423</v>
      </c>
      <c r="F182" s="9"/>
    </row>
    <row r="183" spans="1:6" x14ac:dyDescent="0.3">
      <c r="A183" t="s">
        <v>876</v>
      </c>
      <c r="B183" s="1" t="s">
        <v>875</v>
      </c>
      <c r="C183" s="1" t="s">
        <v>1058</v>
      </c>
      <c r="D183" s="1" t="s">
        <v>1065</v>
      </c>
      <c r="E183" s="9" t="s">
        <v>1423</v>
      </c>
      <c r="F183" s="9"/>
    </row>
    <row r="184" spans="1:6" x14ac:dyDescent="0.3">
      <c r="A184" t="s">
        <v>898</v>
      </c>
      <c r="B184" s="1" t="s">
        <v>897</v>
      </c>
      <c r="C184" s="1" t="s">
        <v>1058</v>
      </c>
      <c r="D184" s="1" t="s">
        <v>1065</v>
      </c>
      <c r="E184" s="9" t="s">
        <v>1423</v>
      </c>
      <c r="F184" s="9"/>
    </row>
    <row r="185" spans="1:6" x14ac:dyDescent="0.3">
      <c r="A185" t="s">
        <v>766</v>
      </c>
      <c r="B185" s="1" t="s">
        <v>765</v>
      </c>
      <c r="C185" s="1" t="s">
        <v>1046</v>
      </c>
      <c r="D185" s="1" t="s">
        <v>1048</v>
      </c>
      <c r="E185" s="9" t="s">
        <v>1374</v>
      </c>
      <c r="F185" s="9"/>
    </row>
    <row r="186" spans="1:6" x14ac:dyDescent="0.3">
      <c r="A186" t="s">
        <v>714</v>
      </c>
      <c r="B186" s="1" t="s">
        <v>713</v>
      </c>
      <c r="C186" s="1" t="s">
        <v>1033</v>
      </c>
      <c r="D186" s="1" t="s">
        <v>1034</v>
      </c>
      <c r="E186" s="9" t="s">
        <v>1349</v>
      </c>
      <c r="F186" s="9"/>
    </row>
    <row r="187" spans="1:6" x14ac:dyDescent="0.3">
      <c r="A187" t="s">
        <v>712</v>
      </c>
      <c r="B187" s="1" t="s">
        <v>711</v>
      </c>
      <c r="C187" s="1" t="s">
        <v>1033</v>
      </c>
      <c r="D187" s="1" t="s">
        <v>1034</v>
      </c>
      <c r="E187" s="9" t="s">
        <v>1348</v>
      </c>
      <c r="F187" s="9"/>
    </row>
    <row r="188" spans="1:6" x14ac:dyDescent="0.3">
      <c r="A188" t="s">
        <v>572</v>
      </c>
      <c r="B188" s="1" t="s">
        <v>571</v>
      </c>
      <c r="C188" s="1" t="s">
        <v>1058</v>
      </c>
      <c r="D188" s="1" t="s">
        <v>1029</v>
      </c>
      <c r="E188" s="9" t="s">
        <v>1293</v>
      </c>
      <c r="F188" s="9"/>
    </row>
    <row r="189" spans="1:6" x14ac:dyDescent="0.3">
      <c r="A189" t="s">
        <v>574</v>
      </c>
      <c r="B189" s="1" t="s">
        <v>573</v>
      </c>
      <c r="C189" s="1" t="s">
        <v>1058</v>
      </c>
      <c r="D189" s="1" t="s">
        <v>1029</v>
      </c>
      <c r="E189" s="9" t="s">
        <v>1294</v>
      </c>
      <c r="F189" s="9"/>
    </row>
    <row r="190" spans="1:6" x14ac:dyDescent="0.3">
      <c r="A190" t="s">
        <v>582</v>
      </c>
      <c r="B190" s="1" t="s">
        <v>581</v>
      </c>
      <c r="C190" s="1" t="s">
        <v>1058</v>
      </c>
      <c r="D190" s="1" t="s">
        <v>1029</v>
      </c>
      <c r="E190" s="9" t="s">
        <v>1298</v>
      </c>
      <c r="F190" s="9"/>
    </row>
    <row r="191" spans="1:6" x14ac:dyDescent="0.3">
      <c r="A191" t="s">
        <v>584</v>
      </c>
      <c r="B191" s="1" t="s">
        <v>583</v>
      </c>
      <c r="C191" s="1" t="s">
        <v>1058</v>
      </c>
      <c r="D191" s="1" t="s">
        <v>1029</v>
      </c>
      <c r="E191" s="9" t="s">
        <v>1299</v>
      </c>
      <c r="F191" s="9"/>
    </row>
    <row r="192" spans="1:6" x14ac:dyDescent="0.3">
      <c r="A192" t="s">
        <v>586</v>
      </c>
      <c r="B192" s="1" t="s">
        <v>585</v>
      </c>
      <c r="C192" s="1" t="s">
        <v>1058</v>
      </c>
      <c r="D192" s="1" t="s">
        <v>1029</v>
      </c>
      <c r="E192" s="9" t="s">
        <v>1300</v>
      </c>
      <c r="F192" s="9"/>
    </row>
    <row r="193" spans="1:6" x14ac:dyDescent="0.3">
      <c r="A193" t="s">
        <v>856</v>
      </c>
      <c r="B193" s="1" t="s">
        <v>855</v>
      </c>
      <c r="C193" s="1" t="s">
        <v>1058</v>
      </c>
      <c r="D193" s="1" t="s">
        <v>1030</v>
      </c>
      <c r="E193" s="9" t="s">
        <v>1418</v>
      </c>
      <c r="F193" s="9"/>
    </row>
    <row r="194" spans="1:6" x14ac:dyDescent="0.3">
      <c r="A194" t="s">
        <v>622</v>
      </c>
      <c r="B194" s="1" t="s">
        <v>621</v>
      </c>
      <c r="C194" s="1" t="s">
        <v>1053</v>
      </c>
      <c r="D194" s="1" t="s">
        <v>1054</v>
      </c>
      <c r="E194" s="9" t="s">
        <v>1318</v>
      </c>
      <c r="F194" s="9"/>
    </row>
    <row r="195" spans="1:6" x14ac:dyDescent="0.3">
      <c r="A195" t="s">
        <v>485</v>
      </c>
      <c r="B195" s="1" t="s">
        <v>484</v>
      </c>
      <c r="C195" s="1" t="s">
        <v>1033</v>
      </c>
      <c r="D195" s="1" t="s">
        <v>1038</v>
      </c>
      <c r="E195" s="9" t="s">
        <v>1257</v>
      </c>
      <c r="F195" s="9"/>
    </row>
    <row r="196" spans="1:6" x14ac:dyDescent="0.3">
      <c r="A196" t="s">
        <v>796</v>
      </c>
      <c r="B196" s="1" t="s">
        <v>795</v>
      </c>
      <c r="C196" s="1" t="s">
        <v>1046</v>
      </c>
      <c r="D196" s="1" t="s">
        <v>1047</v>
      </c>
      <c r="E196" s="9" t="s">
        <v>1389</v>
      </c>
      <c r="F196" s="9"/>
    </row>
    <row r="197" spans="1:6" x14ac:dyDescent="0.3">
      <c r="A197" t="s">
        <v>794</v>
      </c>
      <c r="B197" s="1" t="s">
        <v>793</v>
      </c>
      <c r="C197" s="1" t="s">
        <v>1046</v>
      </c>
      <c r="D197" s="1" t="s">
        <v>1047</v>
      </c>
      <c r="E197" s="9" t="s">
        <v>1388</v>
      </c>
      <c r="F197" s="9"/>
    </row>
    <row r="198" spans="1:6" x14ac:dyDescent="0.3">
      <c r="A198" t="s">
        <v>39</v>
      </c>
      <c r="B198" s="1" t="s">
        <v>38</v>
      </c>
      <c r="C198" s="1" t="s">
        <v>1046</v>
      </c>
      <c r="D198" s="1" t="s">
        <v>1050</v>
      </c>
      <c r="E198" s="9" t="s">
        <v>1090</v>
      </c>
      <c r="F198" s="9"/>
    </row>
    <row r="199" spans="1:6" x14ac:dyDescent="0.3">
      <c r="A199" t="s">
        <v>536</v>
      </c>
      <c r="B199" s="1" t="s">
        <v>535</v>
      </c>
      <c r="C199" s="1" t="s">
        <v>1033</v>
      </c>
      <c r="D199" s="1" t="s">
        <v>1034</v>
      </c>
      <c r="E199" s="9" t="s">
        <v>1279</v>
      </c>
      <c r="F199" s="9"/>
    </row>
    <row r="200" spans="1:6" x14ac:dyDescent="0.3">
      <c r="A200" t="s">
        <v>774</v>
      </c>
      <c r="B200" s="1" t="s">
        <v>773</v>
      </c>
      <c r="C200" s="1" t="s">
        <v>1046</v>
      </c>
      <c r="D200" s="1" t="s">
        <v>1048</v>
      </c>
      <c r="E200" s="9" t="s">
        <v>1378</v>
      </c>
      <c r="F200" s="9"/>
    </row>
    <row r="201" spans="1:6" x14ac:dyDescent="0.3">
      <c r="A201" t="s">
        <v>407</v>
      </c>
      <c r="B201" s="1" t="s">
        <v>406</v>
      </c>
      <c r="C201" s="1" t="s">
        <v>1055</v>
      </c>
      <c r="D201" s="1" t="s">
        <v>1027</v>
      </c>
      <c r="E201" s="9" t="s">
        <v>1220</v>
      </c>
      <c r="F201" s="9"/>
    </row>
    <row r="202" spans="1:6" x14ac:dyDescent="0.3">
      <c r="A202" t="s">
        <v>169</v>
      </c>
      <c r="B202" s="1" t="s">
        <v>168</v>
      </c>
      <c r="C202" s="1" t="s">
        <v>1058</v>
      </c>
      <c r="D202" s="1" t="s">
        <v>1065</v>
      </c>
      <c r="E202" s="9" t="s">
        <v>1149</v>
      </c>
      <c r="F202" s="9"/>
    </row>
    <row r="203" spans="1:6" x14ac:dyDescent="0.3">
      <c r="A203" t="s">
        <v>165</v>
      </c>
      <c r="B203" s="1" t="s">
        <v>164</v>
      </c>
      <c r="C203" s="1" t="s">
        <v>1058</v>
      </c>
      <c r="D203" s="1" t="s">
        <v>1065</v>
      </c>
      <c r="E203" s="9" t="s">
        <v>1149</v>
      </c>
      <c r="F203" s="9"/>
    </row>
    <row r="204" spans="1:6" x14ac:dyDescent="0.3">
      <c r="A204" t="s">
        <v>167</v>
      </c>
      <c r="B204" s="1" t="s">
        <v>166</v>
      </c>
      <c r="C204" s="1" t="s">
        <v>1058</v>
      </c>
      <c r="D204" s="1" t="s">
        <v>1065</v>
      </c>
      <c r="E204" s="9" t="s">
        <v>1149</v>
      </c>
      <c r="F204" s="9"/>
    </row>
    <row r="205" spans="1:6" x14ac:dyDescent="0.3">
      <c r="A205" t="s">
        <v>778</v>
      </c>
      <c r="B205" s="1" t="s">
        <v>777</v>
      </c>
      <c r="C205" s="1" t="s">
        <v>1046</v>
      </c>
      <c r="D205" s="1" t="s">
        <v>1048</v>
      </c>
      <c r="E205" s="9" t="s">
        <v>1380</v>
      </c>
      <c r="F205" s="9"/>
    </row>
    <row r="206" spans="1:6" x14ac:dyDescent="0.3">
      <c r="A206" t="s">
        <v>782</v>
      </c>
      <c r="B206" s="1" t="s">
        <v>781</v>
      </c>
      <c r="C206" s="1" t="s">
        <v>1046</v>
      </c>
      <c r="D206" s="1" t="s">
        <v>1048</v>
      </c>
      <c r="E206" s="9" t="s">
        <v>1382</v>
      </c>
      <c r="F206" s="9"/>
    </row>
    <row r="207" spans="1:6" x14ac:dyDescent="0.3">
      <c r="A207" t="s">
        <v>1008</v>
      </c>
      <c r="B207" s="1" t="s">
        <v>1007</v>
      </c>
      <c r="C207" s="1" t="s">
        <v>1033</v>
      </c>
      <c r="D207" s="1" t="s">
        <v>1043</v>
      </c>
      <c r="E207" s="9" t="s">
        <v>1434</v>
      </c>
      <c r="F207" s="9"/>
    </row>
    <row r="208" spans="1:6" x14ac:dyDescent="0.3">
      <c r="A208" t="s">
        <v>1010</v>
      </c>
      <c r="B208" s="1" t="s">
        <v>1009</v>
      </c>
      <c r="C208" s="1" t="s">
        <v>1033</v>
      </c>
      <c r="D208" s="1" t="s">
        <v>1043</v>
      </c>
      <c r="E208" s="9" t="s">
        <v>1435</v>
      </c>
      <c r="F208" s="9"/>
    </row>
    <row r="209" spans="1:6" x14ac:dyDescent="0.3">
      <c r="A209" t="s">
        <v>413</v>
      </c>
      <c r="B209" s="1" t="s">
        <v>412</v>
      </c>
      <c r="C209" s="1" t="s">
        <v>1033</v>
      </c>
      <c r="D209" s="1" t="s">
        <v>1035</v>
      </c>
      <c r="E209" s="9" t="s">
        <v>1223</v>
      </c>
      <c r="F209" s="9"/>
    </row>
    <row r="210" spans="1:6" x14ac:dyDescent="0.3">
      <c r="A210" t="s">
        <v>415</v>
      </c>
      <c r="B210" s="1" t="s">
        <v>414</v>
      </c>
      <c r="C210" s="1" t="s">
        <v>1033</v>
      </c>
      <c r="D210" s="1" t="s">
        <v>1035</v>
      </c>
      <c r="E210" s="9" t="s">
        <v>1224</v>
      </c>
      <c r="F210" s="9"/>
    </row>
    <row r="211" spans="1:6" x14ac:dyDescent="0.3">
      <c r="A211" t="s">
        <v>417</v>
      </c>
      <c r="B211" s="1" t="s">
        <v>416</v>
      </c>
      <c r="C211" s="1" t="s">
        <v>1033</v>
      </c>
      <c r="D211" s="1" t="s">
        <v>1035</v>
      </c>
      <c r="E211" s="9" t="s">
        <v>1225</v>
      </c>
      <c r="F211" s="9"/>
    </row>
    <row r="212" spans="1:6" x14ac:dyDescent="0.3">
      <c r="A212" t="s">
        <v>1002</v>
      </c>
      <c r="B212" s="1" t="s">
        <v>1001</v>
      </c>
      <c r="C212" s="1" t="s">
        <v>1055</v>
      </c>
      <c r="D212" s="1" t="s">
        <v>1056</v>
      </c>
      <c r="E212" s="9" t="s">
        <v>1431</v>
      </c>
      <c r="F212" s="9"/>
    </row>
    <row r="213" spans="1:6" x14ac:dyDescent="0.3">
      <c r="A213" t="s">
        <v>409</v>
      </c>
      <c r="B213" s="1" t="s">
        <v>408</v>
      </c>
      <c r="C213" s="1" t="s">
        <v>1055</v>
      </c>
      <c r="D213" s="1" t="s">
        <v>1027</v>
      </c>
      <c r="E213" s="9" t="s">
        <v>1221</v>
      </c>
      <c r="F213" s="9"/>
    </row>
    <row r="214" spans="1:6" x14ac:dyDescent="0.3">
      <c r="A214" t="s">
        <v>630</v>
      </c>
      <c r="B214" s="1" t="s">
        <v>629</v>
      </c>
      <c r="C214" s="1" t="s">
        <v>1053</v>
      </c>
      <c r="D214" s="1" t="s">
        <v>1054</v>
      </c>
      <c r="E214" s="9" t="s">
        <v>1320</v>
      </c>
      <c r="F214" s="9"/>
    </row>
    <row r="215" spans="1:6" x14ac:dyDescent="0.3">
      <c r="A215" t="s">
        <v>647</v>
      </c>
      <c r="B215" s="1" t="s">
        <v>646</v>
      </c>
      <c r="C215" s="1" t="s">
        <v>1053</v>
      </c>
      <c r="D215" s="1" t="s">
        <v>1054</v>
      </c>
      <c r="E215" s="9" t="s">
        <v>1325</v>
      </c>
      <c r="F215" s="9"/>
    </row>
    <row r="216" spans="1:6" x14ac:dyDescent="0.3">
      <c r="A216" t="s">
        <v>649</v>
      </c>
      <c r="B216" s="1" t="s">
        <v>648</v>
      </c>
      <c r="C216" s="1" t="s">
        <v>1053</v>
      </c>
      <c r="D216" s="1" t="s">
        <v>1054</v>
      </c>
      <c r="E216" s="9" t="s">
        <v>1325</v>
      </c>
      <c r="F216" s="9"/>
    </row>
    <row r="217" spans="1:6" x14ac:dyDescent="0.3">
      <c r="A217" t="s">
        <v>632</v>
      </c>
      <c r="B217" s="1" t="s">
        <v>631</v>
      </c>
      <c r="C217" s="1" t="s">
        <v>1053</v>
      </c>
      <c r="D217" s="1" t="s">
        <v>1054</v>
      </c>
      <c r="E217" s="9">
        <v>0</v>
      </c>
      <c r="F217" s="9"/>
    </row>
    <row r="218" spans="1:6" x14ac:dyDescent="0.3">
      <c r="A218" t="s">
        <v>632</v>
      </c>
      <c r="B218" s="1" t="s">
        <v>641</v>
      </c>
      <c r="C218" s="1" t="s">
        <v>1053</v>
      </c>
      <c r="D218" s="1" t="s">
        <v>1054</v>
      </c>
      <c r="E218" s="9" t="s">
        <v>1323</v>
      </c>
      <c r="F218" s="9"/>
    </row>
    <row r="219" spans="1:6" x14ac:dyDescent="0.3">
      <c r="A219" t="s">
        <v>643</v>
      </c>
      <c r="B219" s="1" t="s">
        <v>642</v>
      </c>
      <c r="C219" s="1" t="s">
        <v>1053</v>
      </c>
      <c r="D219" s="1" t="s">
        <v>1054</v>
      </c>
      <c r="E219" s="9" t="s">
        <v>1323</v>
      </c>
      <c r="F219" s="9"/>
    </row>
    <row r="220" spans="1:6" x14ac:dyDescent="0.3">
      <c r="A220" t="s">
        <v>645</v>
      </c>
      <c r="B220" s="1" t="s">
        <v>644</v>
      </c>
      <c r="C220" s="1" t="s">
        <v>1053</v>
      </c>
      <c r="D220" s="1" t="s">
        <v>1054</v>
      </c>
      <c r="E220" s="9" t="s">
        <v>1324</v>
      </c>
      <c r="F220" s="9"/>
    </row>
    <row r="221" spans="1:6" x14ac:dyDescent="0.3">
      <c r="A221" t="s">
        <v>666</v>
      </c>
      <c r="B221" s="1" t="s">
        <v>665</v>
      </c>
      <c r="C221" s="1" t="s">
        <v>1058</v>
      </c>
      <c r="D221" s="1" t="s">
        <v>1044</v>
      </c>
      <c r="E221" s="9" t="s">
        <v>1332</v>
      </c>
      <c r="F221" s="9"/>
    </row>
    <row r="222" spans="1:6" x14ac:dyDescent="0.3">
      <c r="A222" t="s">
        <v>437</v>
      </c>
      <c r="B222" s="1" t="s">
        <v>436</v>
      </c>
      <c r="C222" s="1" t="s">
        <v>1033</v>
      </c>
      <c r="D222" s="1" t="s">
        <v>1028</v>
      </c>
      <c r="E222" s="9" t="s">
        <v>1234</v>
      </c>
      <c r="F222" s="9"/>
    </row>
    <row r="223" spans="1:6" x14ac:dyDescent="0.3">
      <c r="A223" t="s">
        <v>435</v>
      </c>
      <c r="B223" s="1" t="s">
        <v>434</v>
      </c>
      <c r="C223" s="1" t="s">
        <v>1033</v>
      </c>
      <c r="D223" s="1" t="s">
        <v>1028</v>
      </c>
      <c r="E223" s="9" t="s">
        <v>1233</v>
      </c>
      <c r="F223" s="9"/>
    </row>
    <row r="224" spans="1:6" x14ac:dyDescent="0.3">
      <c r="A224" t="s">
        <v>455</v>
      </c>
      <c r="B224" s="1" t="s">
        <v>454</v>
      </c>
      <c r="C224" s="1" t="s">
        <v>1055</v>
      </c>
      <c r="D224" s="1" t="s">
        <v>1057</v>
      </c>
      <c r="E224" s="9" t="s">
        <v>1243</v>
      </c>
      <c r="F224" s="9"/>
    </row>
    <row r="225" spans="1:6" x14ac:dyDescent="0.3">
      <c r="A225" t="s">
        <v>834</v>
      </c>
      <c r="B225" s="1" t="s">
        <v>833</v>
      </c>
      <c r="C225" s="1" t="s">
        <v>1058</v>
      </c>
      <c r="D225" s="1" t="s">
        <v>1030</v>
      </c>
      <c r="E225" s="9" t="s">
        <v>1407</v>
      </c>
      <c r="F225" s="9"/>
    </row>
    <row r="226" spans="1:6" x14ac:dyDescent="0.3">
      <c r="A226" t="s">
        <v>463</v>
      </c>
      <c r="B226" s="1" t="s">
        <v>462</v>
      </c>
      <c r="C226" s="1" t="s">
        <v>1046</v>
      </c>
      <c r="D226" s="1" t="s">
        <v>1050</v>
      </c>
      <c r="E226" s="9" t="s">
        <v>1246</v>
      </c>
      <c r="F226" s="9"/>
    </row>
    <row r="227" spans="1:6" x14ac:dyDescent="0.3">
      <c r="A227" t="s">
        <v>507</v>
      </c>
      <c r="B227" s="1" t="s">
        <v>506</v>
      </c>
      <c r="C227" s="1" t="s">
        <v>1033</v>
      </c>
      <c r="D227" s="1" t="s">
        <v>1037</v>
      </c>
      <c r="E227" s="9" t="s">
        <v>1267</v>
      </c>
      <c r="F227" s="9"/>
    </row>
    <row r="228" spans="1:6" x14ac:dyDescent="0.3">
      <c r="A228" t="s">
        <v>1866</v>
      </c>
      <c r="B228" s="1" t="s">
        <v>442</v>
      </c>
      <c r="C228" s="1" t="s">
        <v>1033</v>
      </c>
      <c r="D228" s="1" t="s">
        <v>1028</v>
      </c>
      <c r="E228" s="9" t="s">
        <v>1237</v>
      </c>
      <c r="F228" s="9"/>
    </row>
    <row r="229" spans="1:6" x14ac:dyDescent="0.3">
      <c r="A229" t="s">
        <v>756</v>
      </c>
      <c r="B229" s="1" t="s">
        <v>755</v>
      </c>
      <c r="C229" s="1" t="s">
        <v>1033</v>
      </c>
      <c r="D229" s="1" t="s">
        <v>1028</v>
      </c>
      <c r="E229" s="9" t="s">
        <v>1369</v>
      </c>
      <c r="F229" s="9"/>
    </row>
    <row r="230" spans="1:6" x14ac:dyDescent="0.3">
      <c r="A230" t="s">
        <v>918</v>
      </c>
      <c r="B230" s="1" t="s">
        <v>917</v>
      </c>
      <c r="C230" s="1" t="s">
        <v>1058</v>
      </c>
      <c r="D230" s="1" t="s">
        <v>1065</v>
      </c>
      <c r="E230" s="9" t="s">
        <v>1423</v>
      </c>
      <c r="F230" s="9"/>
    </row>
    <row r="231" spans="1:6" x14ac:dyDescent="0.3">
      <c r="A231" t="s">
        <v>934</v>
      </c>
      <c r="B231" s="1" t="s">
        <v>933</v>
      </c>
      <c r="C231" s="1" t="s">
        <v>1058</v>
      </c>
      <c r="D231" s="1" t="s">
        <v>1065</v>
      </c>
      <c r="E231" s="9" t="s">
        <v>1426</v>
      </c>
      <c r="F231" s="9"/>
    </row>
    <row r="232" spans="1:6" x14ac:dyDescent="0.3">
      <c r="A232" t="s">
        <v>926</v>
      </c>
      <c r="B232" s="1" t="s">
        <v>925</v>
      </c>
      <c r="C232" s="1" t="s">
        <v>1058</v>
      </c>
      <c r="D232" s="1" t="s">
        <v>1065</v>
      </c>
      <c r="E232" s="9" t="s">
        <v>1427</v>
      </c>
      <c r="F232" s="9"/>
    </row>
    <row r="233" spans="1:6" x14ac:dyDescent="0.3">
      <c r="A233" t="s">
        <v>874</v>
      </c>
      <c r="B233" s="1" t="s">
        <v>873</v>
      </c>
      <c r="C233" s="1" t="s">
        <v>1058</v>
      </c>
      <c r="D233" s="1" t="s">
        <v>1065</v>
      </c>
      <c r="E233" s="9" t="s">
        <v>1423</v>
      </c>
      <c r="F233" s="9"/>
    </row>
    <row r="234" spans="1:6" x14ac:dyDescent="0.3">
      <c r="A234" t="s">
        <v>429</v>
      </c>
      <c r="B234" s="1" t="s">
        <v>428</v>
      </c>
      <c r="C234" s="1" t="s">
        <v>1033</v>
      </c>
      <c r="D234" s="1" t="s">
        <v>1035</v>
      </c>
      <c r="E234" s="9" t="s">
        <v>1230</v>
      </c>
      <c r="F234" s="9"/>
    </row>
    <row r="235" spans="1:6" x14ac:dyDescent="0.3">
      <c r="A235" t="s">
        <v>431</v>
      </c>
      <c r="B235" s="1" t="s">
        <v>430</v>
      </c>
      <c r="C235" s="1" t="s">
        <v>1033</v>
      </c>
      <c r="D235" s="1" t="s">
        <v>1035</v>
      </c>
      <c r="E235" s="9" t="s">
        <v>1231</v>
      </c>
      <c r="F235" s="9"/>
    </row>
    <row r="236" spans="1:6" x14ac:dyDescent="0.3">
      <c r="A236" t="s">
        <v>275</v>
      </c>
      <c r="B236" s="1" t="s">
        <v>274</v>
      </c>
      <c r="C236" s="1" t="s">
        <v>1058</v>
      </c>
      <c r="D236" s="1" t="s">
        <v>1065</v>
      </c>
      <c r="E236" s="9">
        <v>0</v>
      </c>
      <c r="F236" s="9"/>
    </row>
    <row r="237" spans="1:6" x14ac:dyDescent="0.3">
      <c r="A237" t="s">
        <v>179</v>
      </c>
      <c r="B237" s="1" t="s">
        <v>178</v>
      </c>
      <c r="C237" s="1" t="s">
        <v>1058</v>
      </c>
      <c r="D237" s="1" t="s">
        <v>1065</v>
      </c>
      <c r="E237" s="9" t="s">
        <v>1149</v>
      </c>
      <c r="F237" s="9"/>
    </row>
    <row r="238" spans="1:6" x14ac:dyDescent="0.3">
      <c r="A238" t="s">
        <v>185</v>
      </c>
      <c r="B238" s="1" t="s">
        <v>184</v>
      </c>
      <c r="C238" s="1" t="s">
        <v>1058</v>
      </c>
      <c r="D238" s="1" t="s">
        <v>1065</v>
      </c>
      <c r="E238" s="9" t="s">
        <v>1149</v>
      </c>
      <c r="F238" s="9"/>
    </row>
    <row r="239" spans="1:6" x14ac:dyDescent="0.3">
      <c r="A239" t="s">
        <v>181</v>
      </c>
      <c r="B239" s="1" t="s">
        <v>180</v>
      </c>
      <c r="C239" s="1" t="s">
        <v>1058</v>
      </c>
      <c r="D239" s="1" t="s">
        <v>1065</v>
      </c>
      <c r="E239" s="9" t="s">
        <v>1149</v>
      </c>
      <c r="F239" s="9"/>
    </row>
    <row r="240" spans="1:6" x14ac:dyDescent="0.3">
      <c r="A240" t="s">
        <v>183</v>
      </c>
      <c r="B240" s="1" t="s">
        <v>182</v>
      </c>
      <c r="C240" s="1" t="s">
        <v>1058</v>
      </c>
      <c r="D240" s="1" t="s">
        <v>1065</v>
      </c>
      <c r="E240" s="9" t="s">
        <v>1149</v>
      </c>
      <c r="F240" s="9"/>
    </row>
    <row r="241" spans="1:6" x14ac:dyDescent="0.3">
      <c r="A241" t="s">
        <v>664</v>
      </c>
      <c r="B241" s="1" t="s">
        <v>663</v>
      </c>
      <c r="C241" s="1" t="s">
        <v>1058</v>
      </c>
      <c r="D241" s="1" t="s">
        <v>1044</v>
      </c>
      <c r="E241" s="9" t="s">
        <v>1331</v>
      </c>
      <c r="F241" s="9"/>
    </row>
    <row r="242" spans="1:6" x14ac:dyDescent="0.3">
      <c r="A242" t="s">
        <v>838</v>
      </c>
      <c r="B242" s="1" t="s">
        <v>837</v>
      </c>
      <c r="C242" s="1" t="s">
        <v>1058</v>
      </c>
      <c r="D242" s="1" t="s">
        <v>1030</v>
      </c>
      <c r="E242" s="9" t="s">
        <v>1409</v>
      </c>
      <c r="F242" s="9"/>
    </row>
    <row r="243" spans="1:6" x14ac:dyDescent="0.3">
      <c r="A243" t="s">
        <v>762</v>
      </c>
      <c r="B243" s="1" t="s">
        <v>761</v>
      </c>
      <c r="C243" s="1" t="s">
        <v>1046</v>
      </c>
      <c r="D243" s="1" t="s">
        <v>1047</v>
      </c>
      <c r="E243" s="9" t="s">
        <v>1372</v>
      </c>
      <c r="F243" s="9"/>
    </row>
    <row r="244" spans="1:6" x14ac:dyDescent="0.3">
      <c r="A244" t="s">
        <v>277</v>
      </c>
      <c r="B244" s="1" t="s">
        <v>276</v>
      </c>
      <c r="C244" s="1" t="s">
        <v>1058</v>
      </c>
      <c r="D244" s="1" t="s">
        <v>1059</v>
      </c>
      <c r="E244" s="9" t="s">
        <v>1158</v>
      </c>
      <c r="F244" s="9"/>
    </row>
    <row r="245" spans="1:6" x14ac:dyDescent="0.3">
      <c r="A245" t="s">
        <v>499</v>
      </c>
      <c r="B245" s="1" t="s">
        <v>498</v>
      </c>
      <c r="C245" s="1" t="s">
        <v>1033</v>
      </c>
      <c r="D245" s="1" t="s">
        <v>1037</v>
      </c>
      <c r="E245" s="9" t="s">
        <v>1264</v>
      </c>
      <c r="F245" s="9"/>
    </row>
    <row r="246" spans="1:6" x14ac:dyDescent="0.3">
      <c r="A246" t="s">
        <v>503</v>
      </c>
      <c r="B246" s="1" t="s">
        <v>502</v>
      </c>
      <c r="C246" s="1" t="s">
        <v>1033</v>
      </c>
      <c r="D246" s="1" t="s">
        <v>1037</v>
      </c>
      <c r="E246" s="9" t="s">
        <v>1266</v>
      </c>
      <c r="F246" s="9"/>
    </row>
    <row r="247" spans="1:6" x14ac:dyDescent="0.3">
      <c r="A247" t="s">
        <v>501</v>
      </c>
      <c r="B247" s="1" t="s">
        <v>500</v>
      </c>
      <c r="C247" s="1" t="s">
        <v>1033</v>
      </c>
      <c r="D247" s="1" t="s">
        <v>1037</v>
      </c>
      <c r="E247" s="9" t="s">
        <v>1265</v>
      </c>
      <c r="F247" s="9"/>
    </row>
    <row r="248" spans="1:6" x14ac:dyDescent="0.3">
      <c r="A248" t="s">
        <v>505</v>
      </c>
      <c r="B248" s="1" t="s">
        <v>504</v>
      </c>
      <c r="C248" s="1" t="s">
        <v>1033</v>
      </c>
      <c r="D248" s="1" t="s">
        <v>1037</v>
      </c>
      <c r="E248" s="9">
        <v>0</v>
      </c>
      <c r="F248" s="9"/>
    </row>
    <row r="249" spans="1:6" x14ac:dyDescent="0.3">
      <c r="A249" t="s">
        <v>459</v>
      </c>
      <c r="B249" s="1" t="s">
        <v>458</v>
      </c>
      <c r="C249" s="1" t="s">
        <v>1046</v>
      </c>
      <c r="D249" s="1" t="s">
        <v>1050</v>
      </c>
      <c r="E249" s="9" t="s">
        <v>1245</v>
      </c>
      <c r="F249" s="9"/>
    </row>
    <row r="250" spans="1:6" x14ac:dyDescent="0.3">
      <c r="A250" t="s">
        <v>544</v>
      </c>
      <c r="B250" s="1" t="s">
        <v>543</v>
      </c>
      <c r="C250" s="1" t="s">
        <v>1033</v>
      </c>
      <c r="D250" s="1" t="s">
        <v>1036</v>
      </c>
      <c r="E250" s="9" t="s">
        <v>1283</v>
      </c>
      <c r="F250" s="9"/>
    </row>
    <row r="251" spans="1:6" x14ac:dyDescent="0.3">
      <c r="A251" t="s">
        <v>517</v>
      </c>
      <c r="B251" s="1" t="s">
        <v>516</v>
      </c>
      <c r="C251" s="1" t="s">
        <v>1033</v>
      </c>
      <c r="D251" s="1" t="s">
        <v>1036</v>
      </c>
      <c r="E251" s="9" t="s">
        <v>1271</v>
      </c>
      <c r="F251" s="9"/>
    </row>
    <row r="252" spans="1:6" x14ac:dyDescent="0.3">
      <c r="A252" t="s">
        <v>521</v>
      </c>
      <c r="B252" s="1" t="s">
        <v>520</v>
      </c>
      <c r="C252" s="1" t="s">
        <v>1033</v>
      </c>
      <c r="D252" s="1" t="s">
        <v>1036</v>
      </c>
      <c r="E252" s="9">
        <v>0</v>
      </c>
      <c r="F252" s="9"/>
    </row>
    <row r="253" spans="1:6" x14ac:dyDescent="0.3">
      <c r="A253" t="s">
        <v>521</v>
      </c>
      <c r="B253" s="1" t="s">
        <v>522</v>
      </c>
      <c r="C253" s="1" t="s">
        <v>1033</v>
      </c>
      <c r="D253" s="1" t="s">
        <v>1036</v>
      </c>
      <c r="E253" s="9" t="s">
        <v>1273</v>
      </c>
      <c r="F253" s="9"/>
    </row>
    <row r="254" spans="1:6" x14ac:dyDescent="0.3">
      <c r="A254" t="s">
        <v>515</v>
      </c>
      <c r="B254" s="1" t="s">
        <v>514</v>
      </c>
      <c r="C254" s="1" t="s">
        <v>1033</v>
      </c>
      <c r="D254" s="1" t="s">
        <v>1036</v>
      </c>
      <c r="E254" s="9" t="s">
        <v>1270</v>
      </c>
      <c r="F254" s="9"/>
    </row>
    <row r="255" spans="1:6" x14ac:dyDescent="0.3">
      <c r="A255" t="s">
        <v>371</v>
      </c>
      <c r="B255" s="1" t="s">
        <v>370</v>
      </c>
      <c r="C255" s="1" t="s">
        <v>1033</v>
      </c>
      <c r="D255" s="1" t="s">
        <v>1034</v>
      </c>
      <c r="E255" s="9" t="s">
        <v>1203</v>
      </c>
      <c r="F255" s="9"/>
    </row>
    <row r="256" spans="1:6" x14ac:dyDescent="0.3">
      <c r="A256" t="s">
        <v>511</v>
      </c>
      <c r="B256" s="1" t="s">
        <v>510</v>
      </c>
      <c r="C256" s="1" t="s">
        <v>1033</v>
      </c>
      <c r="D256" s="1" t="s">
        <v>1036</v>
      </c>
      <c r="E256" s="9" t="s">
        <v>1269</v>
      </c>
      <c r="F256" s="9"/>
    </row>
    <row r="257" spans="1:6" x14ac:dyDescent="0.3">
      <c r="A257" t="s">
        <v>708</v>
      </c>
      <c r="B257" s="1" t="s">
        <v>707</v>
      </c>
      <c r="C257" s="1" t="s">
        <v>1033</v>
      </c>
      <c r="D257" s="1" t="s">
        <v>1034</v>
      </c>
      <c r="E257" s="9" t="s">
        <v>1346</v>
      </c>
      <c r="F257" s="9"/>
    </row>
    <row r="258" spans="1:6" x14ac:dyDescent="0.3">
      <c r="A258" t="s">
        <v>363</v>
      </c>
      <c r="B258" s="1" t="s">
        <v>362</v>
      </c>
      <c r="C258" s="1" t="s">
        <v>1033</v>
      </c>
      <c r="D258" s="1" t="s">
        <v>1034</v>
      </c>
      <c r="E258" s="9" t="s">
        <v>1199</v>
      </c>
      <c r="F258" s="9"/>
    </row>
    <row r="259" spans="1:6" x14ac:dyDescent="0.3">
      <c r="A259" t="s">
        <v>998</v>
      </c>
      <c r="B259" s="1" t="s">
        <v>997</v>
      </c>
      <c r="C259" s="1" t="s">
        <v>1055</v>
      </c>
      <c r="D259" s="1" t="s">
        <v>1056</v>
      </c>
      <c r="E259" s="9" t="s">
        <v>1429</v>
      </c>
      <c r="F259" s="9"/>
    </row>
    <row r="260" spans="1:6" x14ac:dyDescent="0.3">
      <c r="A260" t="s">
        <v>1000</v>
      </c>
      <c r="B260" s="1" t="s">
        <v>999</v>
      </c>
      <c r="C260" s="1" t="s">
        <v>1055</v>
      </c>
      <c r="D260" s="1" t="s">
        <v>1056</v>
      </c>
      <c r="E260" s="9" t="s">
        <v>1430</v>
      </c>
      <c r="F260" s="9"/>
    </row>
    <row r="261" spans="1:6" x14ac:dyDescent="0.3">
      <c r="A261" t="s">
        <v>996</v>
      </c>
      <c r="B261" s="1" t="s">
        <v>995</v>
      </c>
      <c r="C261" s="1" t="s">
        <v>1055</v>
      </c>
      <c r="D261" s="1" t="s">
        <v>1056</v>
      </c>
      <c r="E261" s="9" t="s">
        <v>1428</v>
      </c>
      <c r="F261" s="9"/>
    </row>
    <row r="262" spans="1:6" x14ac:dyDescent="0.3">
      <c r="A262" t="s">
        <v>564</v>
      </c>
      <c r="B262" s="1" t="s">
        <v>563</v>
      </c>
      <c r="C262" s="1" t="s">
        <v>1058</v>
      </c>
      <c r="D262" s="1" t="s">
        <v>1068</v>
      </c>
      <c r="E262" s="9">
        <v>0</v>
      </c>
      <c r="F262" s="9"/>
    </row>
    <row r="263" spans="1:6" x14ac:dyDescent="0.3">
      <c r="A263" t="s">
        <v>566</v>
      </c>
      <c r="B263" s="1" t="s">
        <v>565</v>
      </c>
      <c r="C263" s="1" t="s">
        <v>1058</v>
      </c>
      <c r="D263" s="1" t="s">
        <v>1068</v>
      </c>
      <c r="E263" s="9" t="s">
        <v>1290</v>
      </c>
      <c r="F263" s="9"/>
    </row>
    <row r="264" spans="1:6" x14ac:dyDescent="0.3">
      <c r="A264" t="s">
        <v>554</v>
      </c>
      <c r="B264" s="1" t="s">
        <v>553</v>
      </c>
      <c r="C264" s="1" t="s">
        <v>1033</v>
      </c>
      <c r="D264" s="1" t="s">
        <v>1036</v>
      </c>
      <c r="E264" s="9" t="s">
        <v>1287</v>
      </c>
      <c r="F264" s="9"/>
    </row>
    <row r="265" spans="1:6" x14ac:dyDescent="0.3">
      <c r="A265" t="s">
        <v>651</v>
      </c>
      <c r="B265" s="1" t="s">
        <v>650</v>
      </c>
      <c r="C265" s="1" t="s">
        <v>1053</v>
      </c>
      <c r="D265" s="1" t="s">
        <v>1054</v>
      </c>
      <c r="E265" s="9" t="s">
        <v>1326</v>
      </c>
      <c r="F265" s="9"/>
    </row>
    <row r="266" spans="1:6" x14ac:dyDescent="0.3">
      <c r="A266" t="s">
        <v>659</v>
      </c>
      <c r="B266" s="1" t="s">
        <v>658</v>
      </c>
      <c r="C266" s="1" t="s">
        <v>1053</v>
      </c>
      <c r="D266" s="1" t="s">
        <v>1054</v>
      </c>
      <c r="E266" s="9" t="s">
        <v>1328</v>
      </c>
      <c r="F266" s="9"/>
    </row>
    <row r="267" spans="1:6" x14ac:dyDescent="0.3">
      <c r="A267" t="s">
        <v>655</v>
      </c>
      <c r="B267" s="1" t="s">
        <v>654</v>
      </c>
      <c r="C267" s="1" t="s">
        <v>1053</v>
      </c>
      <c r="D267" s="1" t="s">
        <v>1054</v>
      </c>
      <c r="E267" s="9" t="s">
        <v>1327</v>
      </c>
      <c r="F267" s="9"/>
    </row>
    <row r="268" spans="1:6" x14ac:dyDescent="0.3">
      <c r="A268" t="s">
        <v>653</v>
      </c>
      <c r="B268" s="1" t="s">
        <v>652</v>
      </c>
      <c r="C268" s="1" t="s">
        <v>1053</v>
      </c>
      <c r="D268" s="1" t="s">
        <v>1054</v>
      </c>
      <c r="E268" s="9" t="s">
        <v>1327</v>
      </c>
      <c r="F268" s="9"/>
    </row>
    <row r="269" spans="1:6" x14ac:dyDescent="0.3">
      <c r="A269" t="s">
        <v>657</v>
      </c>
      <c r="B269" s="1" t="s">
        <v>656</v>
      </c>
      <c r="C269" s="1" t="s">
        <v>1053</v>
      </c>
      <c r="D269" s="1" t="s">
        <v>1054</v>
      </c>
      <c r="E269" s="9" t="s">
        <v>1327</v>
      </c>
      <c r="F269" s="9"/>
    </row>
    <row r="270" spans="1:6" x14ac:dyDescent="0.3">
      <c r="A270" t="s">
        <v>95</v>
      </c>
      <c r="B270" s="1" t="s">
        <v>94</v>
      </c>
      <c r="C270" s="1" t="s">
        <v>1033</v>
      </c>
      <c r="D270" s="1" t="s">
        <v>1035</v>
      </c>
      <c r="E270" s="9" t="s">
        <v>1114</v>
      </c>
      <c r="F270" s="9"/>
    </row>
    <row r="271" spans="1:6" x14ac:dyDescent="0.3">
      <c r="A271" t="s">
        <v>19</v>
      </c>
      <c r="B271" s="1" t="s">
        <v>18</v>
      </c>
      <c r="C271" s="1" t="s">
        <v>1058</v>
      </c>
      <c r="D271" s="1" t="s">
        <v>1064</v>
      </c>
      <c r="E271" s="9" t="s">
        <v>1078</v>
      </c>
      <c r="F271" s="9"/>
    </row>
    <row r="272" spans="1:6" x14ac:dyDescent="0.3">
      <c r="A272" t="s">
        <v>22</v>
      </c>
      <c r="B272" s="1" t="s">
        <v>21</v>
      </c>
      <c r="C272" s="1" t="s">
        <v>1058</v>
      </c>
      <c r="D272" s="1" t="s">
        <v>1064</v>
      </c>
      <c r="E272" s="9" t="s">
        <v>1080</v>
      </c>
      <c r="F272" s="9"/>
    </row>
    <row r="273" spans="1:6" x14ac:dyDescent="0.3">
      <c r="A273" t="s">
        <v>20</v>
      </c>
      <c r="B273" s="1" t="s">
        <v>1519</v>
      </c>
      <c r="C273" s="1" t="s">
        <v>1058</v>
      </c>
      <c r="D273" s="1" t="s">
        <v>1064</v>
      </c>
      <c r="E273" s="9" t="s">
        <v>1079</v>
      </c>
      <c r="F273" s="9"/>
    </row>
    <row r="274" spans="1:6" x14ac:dyDescent="0.3">
      <c r="A274" t="s">
        <v>23</v>
      </c>
      <c r="B274" s="1" t="s">
        <v>1491</v>
      </c>
      <c r="C274" s="1" t="s">
        <v>1058</v>
      </c>
      <c r="D274" s="1" t="s">
        <v>1064</v>
      </c>
      <c r="E274" s="9" t="s">
        <v>1081</v>
      </c>
      <c r="F274" s="9"/>
    </row>
    <row r="275" spans="1:6" x14ac:dyDescent="0.3">
      <c r="A275" t="s">
        <v>526</v>
      </c>
      <c r="B275" s="1" t="s">
        <v>525</v>
      </c>
      <c r="C275" s="1" t="s">
        <v>1033</v>
      </c>
      <c r="D275" s="1" t="s">
        <v>1036</v>
      </c>
      <c r="E275" s="9" t="s">
        <v>1275</v>
      </c>
      <c r="F275" s="9"/>
    </row>
    <row r="276" spans="1:6" x14ac:dyDescent="0.3">
      <c r="A276" t="s">
        <v>524</v>
      </c>
      <c r="B276" s="1" t="s">
        <v>523</v>
      </c>
      <c r="C276" s="1" t="s">
        <v>1033</v>
      </c>
      <c r="D276" s="1" t="s">
        <v>1036</v>
      </c>
      <c r="E276" s="9" t="s">
        <v>1274</v>
      </c>
      <c r="F276" s="9"/>
    </row>
    <row r="277" spans="1:6" x14ac:dyDescent="0.3">
      <c r="A277" t="s">
        <v>528</v>
      </c>
      <c r="B277" s="1" t="s">
        <v>527</v>
      </c>
      <c r="C277" s="1" t="s">
        <v>1033</v>
      </c>
      <c r="D277" s="1" t="s">
        <v>1036</v>
      </c>
      <c r="E277" s="9" t="s">
        <v>1275</v>
      </c>
      <c r="F277" s="9"/>
    </row>
    <row r="278" spans="1:6" x14ac:dyDescent="0.3">
      <c r="A278" t="s">
        <v>457</v>
      </c>
      <c r="B278" s="1" t="s">
        <v>456</v>
      </c>
      <c r="C278" s="1" t="s">
        <v>1055</v>
      </c>
      <c r="D278" s="1" t="s">
        <v>1057</v>
      </c>
      <c r="E278" s="9" t="s">
        <v>1244</v>
      </c>
      <c r="F278" s="9"/>
    </row>
    <row r="279" spans="1:6" x14ac:dyDescent="0.3">
      <c r="A279" t="s">
        <v>938</v>
      </c>
      <c r="B279" s="1" t="s">
        <v>937</v>
      </c>
      <c r="C279" s="1" t="s">
        <v>1058</v>
      </c>
      <c r="D279" s="1" t="s">
        <v>1065</v>
      </c>
      <c r="E279" s="9" t="s">
        <v>1426</v>
      </c>
      <c r="F279" s="9"/>
    </row>
    <row r="280" spans="1:6" x14ac:dyDescent="0.3">
      <c r="A280" t="s">
        <v>936</v>
      </c>
      <c r="B280" s="1" t="s">
        <v>935</v>
      </c>
      <c r="C280" s="1" t="s">
        <v>1058</v>
      </c>
      <c r="D280" s="1" t="s">
        <v>1065</v>
      </c>
      <c r="E280" s="9" t="s">
        <v>1423</v>
      </c>
      <c r="F280" s="9"/>
    </row>
    <row r="281" spans="1:6" x14ac:dyDescent="0.3">
      <c r="A281" t="s">
        <v>920</v>
      </c>
      <c r="B281" s="1" t="s">
        <v>919</v>
      </c>
      <c r="C281" s="1" t="s">
        <v>1058</v>
      </c>
      <c r="D281" s="1" t="s">
        <v>1065</v>
      </c>
      <c r="E281" s="9" t="s">
        <v>1426</v>
      </c>
      <c r="F281" s="9"/>
    </row>
    <row r="282" spans="1:6" x14ac:dyDescent="0.3">
      <c r="A282" t="s">
        <v>465</v>
      </c>
      <c r="B282" s="1" t="s">
        <v>464</v>
      </c>
      <c r="C282" s="1" t="s">
        <v>1058</v>
      </c>
      <c r="D282" s="1" t="s">
        <v>1065</v>
      </c>
      <c r="E282" s="9" t="s">
        <v>1247</v>
      </c>
      <c r="F282" s="9"/>
    </row>
    <row r="283" spans="1:6" x14ac:dyDescent="0.3">
      <c r="A283" t="s">
        <v>201</v>
      </c>
      <c r="B283" s="1" t="s">
        <v>200</v>
      </c>
      <c r="C283" s="1" t="s">
        <v>1058</v>
      </c>
      <c r="D283" s="1" t="s">
        <v>1065</v>
      </c>
      <c r="E283" s="9" t="s">
        <v>1154</v>
      </c>
      <c r="F283" s="9"/>
    </row>
    <row r="284" spans="1:6" x14ac:dyDescent="0.3">
      <c r="A284" t="s">
        <v>203</v>
      </c>
      <c r="B284" s="1" t="s">
        <v>202</v>
      </c>
      <c r="C284" s="1" t="s">
        <v>1058</v>
      </c>
      <c r="D284" s="1" t="s">
        <v>1065</v>
      </c>
      <c r="E284" s="9" t="s">
        <v>1154</v>
      </c>
      <c r="F284" s="9"/>
    </row>
    <row r="285" spans="1:6" x14ac:dyDescent="0.3">
      <c r="A285" t="s">
        <v>205</v>
      </c>
      <c r="B285" s="1" t="s">
        <v>204</v>
      </c>
      <c r="C285" s="1" t="s">
        <v>1058</v>
      </c>
      <c r="D285" s="1" t="s">
        <v>1065</v>
      </c>
      <c r="E285" s="9" t="s">
        <v>1154</v>
      </c>
      <c r="F285" s="9"/>
    </row>
    <row r="286" spans="1:6" x14ac:dyDescent="0.3">
      <c r="A286" t="s">
        <v>209</v>
      </c>
      <c r="B286" s="1" t="s">
        <v>208</v>
      </c>
      <c r="C286" s="1" t="s">
        <v>1058</v>
      </c>
      <c r="D286" s="1" t="s">
        <v>1065</v>
      </c>
      <c r="E286" s="9" t="s">
        <v>1154</v>
      </c>
      <c r="F286" s="9"/>
    </row>
    <row r="287" spans="1:6" x14ac:dyDescent="0.3">
      <c r="A287" t="s">
        <v>207</v>
      </c>
      <c r="B287" s="1" t="s">
        <v>206</v>
      </c>
      <c r="C287" s="1" t="s">
        <v>1058</v>
      </c>
      <c r="D287" s="1" t="s">
        <v>1065</v>
      </c>
      <c r="E287" s="9" t="s">
        <v>1154</v>
      </c>
      <c r="F287" s="9"/>
    </row>
    <row r="288" spans="1:6" x14ac:dyDescent="0.3">
      <c r="A288" t="s">
        <v>163</v>
      </c>
      <c r="B288" s="1" t="s">
        <v>162</v>
      </c>
      <c r="C288" s="1" t="s">
        <v>1058</v>
      </c>
      <c r="D288" s="1" t="s">
        <v>1065</v>
      </c>
      <c r="E288" s="9" t="s">
        <v>1148</v>
      </c>
      <c r="F288" s="9"/>
    </row>
    <row r="289" spans="1:6" x14ac:dyDescent="0.3">
      <c r="A289" t="s">
        <v>211</v>
      </c>
      <c r="B289" s="1" t="s">
        <v>210</v>
      </c>
      <c r="C289" s="1" t="s">
        <v>1058</v>
      </c>
      <c r="D289" s="1" t="s">
        <v>1065</v>
      </c>
      <c r="E289" s="9" t="s">
        <v>1154</v>
      </c>
      <c r="F289" s="9"/>
    </row>
    <row r="290" spans="1:6" x14ac:dyDescent="0.3">
      <c r="A290" t="s">
        <v>1867</v>
      </c>
      <c r="B290" s="1" t="s">
        <v>807</v>
      </c>
      <c r="C290" s="1" t="s">
        <v>1058</v>
      </c>
      <c r="D290" s="1" t="s">
        <v>1068</v>
      </c>
      <c r="E290" s="9" t="s">
        <v>1395</v>
      </c>
      <c r="F290" s="9"/>
    </row>
    <row r="291" spans="1:6" x14ac:dyDescent="0.3">
      <c r="A291" t="s">
        <v>816</v>
      </c>
      <c r="B291" s="1" t="s">
        <v>815</v>
      </c>
      <c r="C291" s="1" t="s">
        <v>1058</v>
      </c>
      <c r="D291" s="1" t="s">
        <v>1068</v>
      </c>
      <c r="E291" s="9" t="s">
        <v>1399</v>
      </c>
      <c r="F291" s="9"/>
    </row>
    <row r="292" spans="1:6" x14ac:dyDescent="0.3">
      <c r="A292" t="s">
        <v>804</v>
      </c>
      <c r="B292" s="1" t="s">
        <v>803</v>
      </c>
      <c r="C292" s="1" t="s">
        <v>1058</v>
      </c>
      <c r="D292" s="1" t="s">
        <v>1068</v>
      </c>
      <c r="E292" s="9" t="s">
        <v>1393</v>
      </c>
      <c r="F292" s="9"/>
    </row>
    <row r="293" spans="1:6" x14ac:dyDescent="0.3">
      <c r="A293" t="s">
        <v>806</v>
      </c>
      <c r="B293" s="1" t="s">
        <v>805</v>
      </c>
      <c r="C293" s="1" t="s">
        <v>1058</v>
      </c>
      <c r="D293" s="1" t="s">
        <v>1068</v>
      </c>
      <c r="E293" s="9" t="s">
        <v>1394</v>
      </c>
      <c r="F293" s="9"/>
    </row>
    <row r="294" spans="1:6" x14ac:dyDescent="0.3">
      <c r="A294" t="s">
        <v>810</v>
      </c>
      <c r="B294" s="1" t="s">
        <v>809</v>
      </c>
      <c r="C294" s="1" t="s">
        <v>1058</v>
      </c>
      <c r="D294" s="1" t="s">
        <v>1068</v>
      </c>
      <c r="E294" s="9" t="s">
        <v>1396</v>
      </c>
      <c r="F294" s="9"/>
    </row>
    <row r="295" spans="1:6" x14ac:dyDescent="0.3">
      <c r="A295" t="s">
        <v>812</v>
      </c>
      <c r="B295" s="1" t="s">
        <v>811</v>
      </c>
      <c r="C295" s="1" t="s">
        <v>1058</v>
      </c>
      <c r="D295" s="1" t="s">
        <v>1068</v>
      </c>
      <c r="E295" s="9" t="s">
        <v>1397</v>
      </c>
      <c r="F295" s="9"/>
    </row>
    <row r="296" spans="1:6" x14ac:dyDescent="0.3">
      <c r="A296" t="s">
        <v>477</v>
      </c>
      <c r="B296" s="1" t="s">
        <v>476</v>
      </c>
      <c r="C296" s="1" t="s">
        <v>1055</v>
      </c>
      <c r="D296" s="1" t="s">
        <v>1057</v>
      </c>
      <c r="E296" s="9" t="s">
        <v>1253</v>
      </c>
      <c r="F296" s="9"/>
    </row>
    <row r="297" spans="1:6" x14ac:dyDescent="0.3">
      <c r="A297" t="s">
        <v>479</v>
      </c>
      <c r="B297" s="1" t="s">
        <v>478</v>
      </c>
      <c r="C297" s="1" t="s">
        <v>1055</v>
      </c>
      <c r="D297" s="1" t="s">
        <v>1057</v>
      </c>
      <c r="E297" s="9" t="s">
        <v>1254</v>
      </c>
      <c r="F297" s="9"/>
    </row>
    <row r="298" spans="1:6" x14ac:dyDescent="0.3">
      <c r="A298" t="s">
        <v>684</v>
      </c>
      <c r="B298" s="1" t="s">
        <v>683</v>
      </c>
      <c r="C298" s="1" t="s">
        <v>1058</v>
      </c>
      <c r="D298" s="1" t="s">
        <v>1045</v>
      </c>
      <c r="E298" s="9" t="s">
        <v>1341</v>
      </c>
      <c r="F298" s="9"/>
    </row>
    <row r="299" spans="1:6" x14ac:dyDescent="0.3">
      <c r="A299" t="s">
        <v>832</v>
      </c>
      <c r="B299" s="1" t="s">
        <v>831</v>
      </c>
      <c r="C299" s="1" t="s">
        <v>1058</v>
      </c>
      <c r="D299" s="1" t="s">
        <v>1030</v>
      </c>
      <c r="E299" s="9" t="s">
        <v>1406</v>
      </c>
      <c r="F299" s="9"/>
    </row>
    <row r="300" spans="1:6" x14ac:dyDescent="0.3">
      <c r="A300" t="s">
        <v>836</v>
      </c>
      <c r="B300" s="1" t="s">
        <v>835</v>
      </c>
      <c r="C300" s="1" t="s">
        <v>1058</v>
      </c>
      <c r="D300" s="1" t="s">
        <v>1030</v>
      </c>
      <c r="E300" s="9" t="s">
        <v>1408</v>
      </c>
      <c r="F300" s="9"/>
    </row>
    <row r="301" spans="1:6" x14ac:dyDescent="0.3">
      <c r="A301" t="s">
        <v>848</v>
      </c>
      <c r="B301" s="1" t="s">
        <v>847</v>
      </c>
      <c r="C301" s="1" t="s">
        <v>1058</v>
      </c>
      <c r="D301" s="1" t="s">
        <v>1030</v>
      </c>
      <c r="E301" s="9" t="s">
        <v>1414</v>
      </c>
      <c r="F301" s="9"/>
    </row>
    <row r="302" spans="1:6" x14ac:dyDescent="0.3">
      <c r="A302" t="s">
        <v>854</v>
      </c>
      <c r="B302" s="1" t="s">
        <v>853</v>
      </c>
      <c r="C302" s="1" t="s">
        <v>1058</v>
      </c>
      <c r="D302" s="1" t="s">
        <v>1030</v>
      </c>
      <c r="E302" s="9" t="s">
        <v>1417</v>
      </c>
      <c r="F302" s="9"/>
    </row>
    <row r="303" spans="1:6" x14ac:dyDescent="0.3">
      <c r="A303" t="s">
        <v>852</v>
      </c>
      <c r="B303" s="1" t="s">
        <v>851</v>
      </c>
      <c r="C303" s="1" t="s">
        <v>1058</v>
      </c>
      <c r="D303" s="1" t="s">
        <v>1030</v>
      </c>
      <c r="E303" s="9" t="s">
        <v>1416</v>
      </c>
      <c r="F303" s="9"/>
    </row>
    <row r="304" spans="1:6" x14ac:dyDescent="0.3">
      <c r="A304" t="s">
        <v>864</v>
      </c>
      <c r="B304" s="1" t="s">
        <v>863</v>
      </c>
      <c r="C304" s="1" t="s">
        <v>1058</v>
      </c>
      <c r="D304" s="1" t="s">
        <v>1030</v>
      </c>
      <c r="E304" s="9" t="s">
        <v>1422</v>
      </c>
      <c r="F304" s="9"/>
    </row>
    <row r="305" spans="1:6" x14ac:dyDescent="0.3">
      <c r="A305" t="s">
        <v>513</v>
      </c>
      <c r="B305" s="1" t="s">
        <v>512</v>
      </c>
      <c r="C305" s="1" t="s">
        <v>1033</v>
      </c>
      <c r="D305" s="1" t="s">
        <v>1036</v>
      </c>
      <c r="E305" s="9">
        <v>0</v>
      </c>
      <c r="F305" s="9"/>
    </row>
    <row r="306" spans="1:6" x14ac:dyDescent="0.3">
      <c r="A306" t="s">
        <v>614</v>
      </c>
      <c r="B306" s="1" t="s">
        <v>613</v>
      </c>
      <c r="C306" s="1" t="s">
        <v>1053</v>
      </c>
      <c r="D306" s="1" t="s">
        <v>1054</v>
      </c>
      <c r="E306" s="9" t="s">
        <v>1314</v>
      </c>
      <c r="F306" s="9"/>
    </row>
    <row r="307" spans="1:6" x14ac:dyDescent="0.3">
      <c r="A307" t="s">
        <v>598</v>
      </c>
      <c r="B307" s="1" t="s">
        <v>597</v>
      </c>
      <c r="C307" s="1" t="s">
        <v>1058</v>
      </c>
      <c r="D307" s="1" t="s">
        <v>1065</v>
      </c>
      <c r="E307" s="9" t="s">
        <v>1306</v>
      </c>
      <c r="F307" s="9"/>
    </row>
    <row r="308" spans="1:6" x14ac:dyDescent="0.3">
      <c r="A308" t="s">
        <v>600</v>
      </c>
      <c r="B308" s="1" t="s">
        <v>599</v>
      </c>
      <c r="C308" s="1" t="s">
        <v>1058</v>
      </c>
      <c r="D308" s="1" t="s">
        <v>1065</v>
      </c>
      <c r="E308" s="9" t="s">
        <v>1307</v>
      </c>
      <c r="F308" s="9"/>
    </row>
    <row r="309" spans="1:6" x14ac:dyDescent="0.3">
      <c r="A309" t="s">
        <v>602</v>
      </c>
      <c r="B309" s="1" t="s">
        <v>601</v>
      </c>
      <c r="C309" s="1" t="s">
        <v>1058</v>
      </c>
      <c r="D309" s="1" t="s">
        <v>1065</v>
      </c>
      <c r="E309" s="9" t="s">
        <v>1308</v>
      </c>
      <c r="F309" s="9"/>
    </row>
    <row r="310" spans="1:6" x14ac:dyDescent="0.3">
      <c r="A310" t="s">
        <v>634</v>
      </c>
      <c r="B310" s="1" t="s">
        <v>633</v>
      </c>
      <c r="C310" s="1" t="s">
        <v>1053</v>
      </c>
      <c r="D310" s="1" t="s">
        <v>1054</v>
      </c>
      <c r="E310" s="9" t="s">
        <v>1321</v>
      </c>
      <c r="F310" s="9"/>
    </row>
    <row r="311" spans="1:6" x14ac:dyDescent="0.3">
      <c r="A311" t="s">
        <v>636</v>
      </c>
      <c r="B311" s="1" t="s">
        <v>635</v>
      </c>
      <c r="C311" s="1" t="s">
        <v>1053</v>
      </c>
      <c r="D311" s="1" t="s">
        <v>1054</v>
      </c>
      <c r="E311" s="9" t="s">
        <v>1322</v>
      </c>
      <c r="F311" s="9"/>
    </row>
    <row r="312" spans="1:6" x14ac:dyDescent="0.3">
      <c r="A312" t="s">
        <v>638</v>
      </c>
      <c r="B312" s="1" t="s">
        <v>637</v>
      </c>
      <c r="C312" s="1" t="s">
        <v>1053</v>
      </c>
      <c r="D312" s="1" t="s">
        <v>1054</v>
      </c>
      <c r="E312" s="9" t="s">
        <v>1322</v>
      </c>
      <c r="F312" s="9"/>
    </row>
    <row r="313" spans="1:6" x14ac:dyDescent="0.3">
      <c r="A313" t="s">
        <v>640</v>
      </c>
      <c r="B313" s="1" t="s">
        <v>639</v>
      </c>
      <c r="C313" s="1" t="s">
        <v>1053</v>
      </c>
      <c r="D313" s="1" t="s">
        <v>1054</v>
      </c>
      <c r="E313" s="9">
        <v>0</v>
      </c>
      <c r="F313" s="9"/>
    </row>
    <row r="314" spans="1:6" x14ac:dyDescent="0.3">
      <c r="A314" t="s">
        <v>109</v>
      </c>
      <c r="B314" s="1" t="s">
        <v>108</v>
      </c>
      <c r="C314" s="1" t="s">
        <v>1033</v>
      </c>
      <c r="D314" s="1" t="s">
        <v>1035</v>
      </c>
      <c r="E314" s="9" t="s">
        <v>1121</v>
      </c>
      <c r="F314" s="9"/>
    </row>
    <row r="315" spans="1:6" x14ac:dyDescent="0.3">
      <c r="A315" t="s">
        <v>107</v>
      </c>
      <c r="B315" s="1" t="s">
        <v>106</v>
      </c>
      <c r="C315" s="1" t="s">
        <v>1033</v>
      </c>
      <c r="D315" s="1" t="s">
        <v>1035</v>
      </c>
      <c r="E315" s="9" t="s">
        <v>1120</v>
      </c>
      <c r="F315" s="9"/>
    </row>
    <row r="316" spans="1:6" x14ac:dyDescent="0.3">
      <c r="A316" t="s">
        <v>111</v>
      </c>
      <c r="B316" s="1" t="s">
        <v>110</v>
      </c>
      <c r="C316" s="1" t="s">
        <v>1033</v>
      </c>
      <c r="D316" s="1" t="s">
        <v>1035</v>
      </c>
      <c r="E316" s="9" t="s">
        <v>1122</v>
      </c>
      <c r="F316" s="9"/>
    </row>
    <row r="317" spans="1:6" x14ac:dyDescent="0.3">
      <c r="A317" t="s">
        <v>113</v>
      </c>
      <c r="B317" s="1" t="s">
        <v>112</v>
      </c>
      <c r="C317" s="1" t="s">
        <v>1033</v>
      </c>
      <c r="D317" s="1" t="s">
        <v>1035</v>
      </c>
      <c r="E317" s="9" t="s">
        <v>1123</v>
      </c>
      <c r="F317" s="9"/>
    </row>
    <row r="318" spans="1:6" x14ac:dyDescent="0.3">
      <c r="A318" t="s">
        <v>117</v>
      </c>
      <c r="B318" s="1" t="s">
        <v>116</v>
      </c>
      <c r="C318" s="1" t="s">
        <v>1033</v>
      </c>
      <c r="D318" s="1" t="s">
        <v>1035</v>
      </c>
      <c r="E318" s="9" t="s">
        <v>1125</v>
      </c>
      <c r="F318" s="9"/>
    </row>
    <row r="319" spans="1:6" x14ac:dyDescent="0.3">
      <c r="A319" t="s">
        <v>588</v>
      </c>
      <c r="B319" s="1" t="s">
        <v>587</v>
      </c>
      <c r="C319" s="1" t="s">
        <v>1058</v>
      </c>
      <c r="D319" s="1" t="s">
        <v>1029</v>
      </c>
      <c r="E319" s="9" t="s">
        <v>1301</v>
      </c>
      <c r="F319" s="9"/>
    </row>
    <row r="320" spans="1:6" x14ac:dyDescent="0.3">
      <c r="A320" t="s">
        <v>612</v>
      </c>
      <c r="B320" s="1" t="s">
        <v>611</v>
      </c>
      <c r="C320" s="1" t="s">
        <v>1053</v>
      </c>
      <c r="D320" s="1" t="s">
        <v>1054</v>
      </c>
      <c r="E320" s="9" t="s">
        <v>1313</v>
      </c>
      <c r="F320" s="9"/>
    </row>
    <row r="321" spans="1:6" x14ac:dyDescent="0.3">
      <c r="A321" t="s">
        <v>844</v>
      </c>
      <c r="B321" s="1" t="s">
        <v>843</v>
      </c>
      <c r="C321" s="1" t="s">
        <v>1058</v>
      </c>
      <c r="D321" s="1" t="s">
        <v>1030</v>
      </c>
      <c r="E321" s="9" t="s">
        <v>1412</v>
      </c>
      <c r="F321" s="9"/>
    </row>
    <row r="322" spans="1:6" x14ac:dyDescent="0.3">
      <c r="A322" t="s">
        <v>618</v>
      </c>
      <c r="B322" s="1" t="s">
        <v>617</v>
      </c>
      <c r="C322" s="1" t="s">
        <v>1053</v>
      </c>
      <c r="D322" s="1" t="s">
        <v>1054</v>
      </c>
      <c r="E322" s="9" t="s">
        <v>1316</v>
      </c>
      <c r="F322" s="9"/>
    </row>
    <row r="323" spans="1:6" x14ac:dyDescent="0.3">
      <c r="A323" t="s">
        <v>467</v>
      </c>
      <c r="B323" s="1" t="s">
        <v>466</v>
      </c>
      <c r="C323" s="1" t="s">
        <v>1058</v>
      </c>
      <c r="D323" s="1" t="s">
        <v>1065</v>
      </c>
      <c r="E323" s="9" t="s">
        <v>1248</v>
      </c>
      <c r="F323" s="9"/>
    </row>
    <row r="324" spans="1:6" x14ac:dyDescent="0.3">
      <c r="A324" t="s">
        <v>710</v>
      </c>
      <c r="B324" s="1" t="s">
        <v>709</v>
      </c>
      <c r="C324" s="1" t="s">
        <v>1033</v>
      </c>
      <c r="D324" s="1" t="s">
        <v>1034</v>
      </c>
      <c r="E324" s="9" t="s">
        <v>1347</v>
      </c>
      <c r="F324" s="9"/>
    </row>
    <row r="325" spans="1:6" x14ac:dyDescent="0.3">
      <c r="A325" t="s">
        <v>532</v>
      </c>
      <c r="B325" s="1" t="s">
        <v>531</v>
      </c>
      <c r="C325" s="1" t="s">
        <v>1033</v>
      </c>
      <c r="D325" s="1" t="s">
        <v>1034</v>
      </c>
      <c r="E325" s="9" t="s">
        <v>1277</v>
      </c>
      <c r="F325" s="9"/>
    </row>
    <row r="326" spans="1:6" x14ac:dyDescent="0.3">
      <c r="A326" t="s">
        <v>9</v>
      </c>
      <c r="B326" s="1" t="s">
        <v>1470</v>
      </c>
      <c r="C326" s="1" t="s">
        <v>1046</v>
      </c>
      <c r="D326" s="1" t="s">
        <v>1049</v>
      </c>
      <c r="E326" s="9" t="s">
        <v>1073</v>
      </c>
      <c r="F326" s="9"/>
    </row>
    <row r="327" spans="1:6" x14ac:dyDescent="0.3">
      <c r="A327" t="s">
        <v>483</v>
      </c>
      <c r="B327" s="1" t="s">
        <v>482</v>
      </c>
      <c r="C327" s="1" t="s">
        <v>1053</v>
      </c>
      <c r="D327" s="1" t="s">
        <v>1054</v>
      </c>
      <c r="E327" s="9" t="s">
        <v>1256</v>
      </c>
      <c r="F327" s="9"/>
    </row>
    <row r="328" spans="1:6" x14ac:dyDescent="0.3">
      <c r="A328" t="s">
        <v>509</v>
      </c>
      <c r="B328" s="1" t="s">
        <v>508</v>
      </c>
      <c r="C328" s="1" t="s">
        <v>1033</v>
      </c>
      <c r="D328" s="1" t="s">
        <v>1036</v>
      </c>
      <c r="E328" s="9" t="s">
        <v>1268</v>
      </c>
      <c r="F328" s="9"/>
    </row>
    <row r="329" spans="1:6" x14ac:dyDescent="0.3">
      <c r="A329" t="s">
        <v>596</v>
      </c>
      <c r="B329" s="1" t="s">
        <v>595</v>
      </c>
      <c r="C329" s="1" t="s">
        <v>1058</v>
      </c>
      <c r="D329" s="1" t="s">
        <v>1029</v>
      </c>
      <c r="E329" s="9" t="s">
        <v>1305</v>
      </c>
      <c r="F329" s="9"/>
    </row>
    <row r="330" spans="1:6" x14ac:dyDescent="0.3">
      <c r="A330" t="s">
        <v>580</v>
      </c>
      <c r="B330" s="1" t="s">
        <v>579</v>
      </c>
      <c r="C330" s="1" t="s">
        <v>1058</v>
      </c>
      <c r="D330" s="1" t="s">
        <v>1029</v>
      </c>
      <c r="E330" s="9" t="s">
        <v>1297</v>
      </c>
      <c r="F330" s="9"/>
    </row>
    <row r="331" spans="1:6" x14ac:dyDescent="0.3">
      <c r="A331" t="s">
        <v>578</v>
      </c>
      <c r="B331" s="1" t="s">
        <v>577</v>
      </c>
      <c r="C331" s="1" t="s">
        <v>1058</v>
      </c>
      <c r="D331" s="1" t="s">
        <v>1029</v>
      </c>
      <c r="E331" s="9" t="s">
        <v>1296</v>
      </c>
      <c r="F331" s="9"/>
    </row>
    <row r="332" spans="1:6" x14ac:dyDescent="0.3">
      <c r="A332" t="s">
        <v>538</v>
      </c>
      <c r="B332" s="1" t="s">
        <v>537</v>
      </c>
      <c r="C332" s="1" t="s">
        <v>1033</v>
      </c>
      <c r="D332" s="1" t="s">
        <v>1034</v>
      </c>
      <c r="E332" s="9" t="s">
        <v>1280</v>
      </c>
      <c r="F332" s="9"/>
    </row>
    <row r="333" spans="1:6" x14ac:dyDescent="0.3">
      <c r="A333" t="s">
        <v>830</v>
      </c>
      <c r="B333" s="1" t="s">
        <v>829</v>
      </c>
      <c r="C333" s="1" t="s">
        <v>1058</v>
      </c>
      <c r="D333" s="1" t="s">
        <v>1067</v>
      </c>
      <c r="E333" s="9" t="s">
        <v>1405</v>
      </c>
      <c r="F333" s="9"/>
    </row>
    <row r="334" spans="1:6" x14ac:dyDescent="0.3">
      <c r="A334" t="s">
        <v>558</v>
      </c>
      <c r="B334" s="1" t="s">
        <v>557</v>
      </c>
      <c r="C334" s="1" t="s">
        <v>1058</v>
      </c>
      <c r="D334" s="1" t="s">
        <v>1062</v>
      </c>
      <c r="E334" s="9" t="s">
        <v>1289</v>
      </c>
      <c r="F334" s="9"/>
    </row>
    <row r="335" spans="1:6" x14ac:dyDescent="0.3">
      <c r="A335" t="s">
        <v>411</v>
      </c>
      <c r="B335" s="1" t="s">
        <v>410</v>
      </c>
      <c r="C335" s="1" t="s">
        <v>1055</v>
      </c>
      <c r="D335" s="1" t="s">
        <v>1027</v>
      </c>
      <c r="E335" s="9" t="s">
        <v>1222</v>
      </c>
      <c r="F335" s="9"/>
    </row>
    <row r="336" spans="1:6" x14ac:dyDescent="0.3">
      <c r="A336" t="s">
        <v>942</v>
      </c>
      <c r="B336" s="1" t="s">
        <v>941</v>
      </c>
      <c r="C336" s="1" t="s">
        <v>1058</v>
      </c>
      <c r="D336" s="1" t="s">
        <v>1065</v>
      </c>
      <c r="E336" s="9" t="s">
        <v>1423</v>
      </c>
      <c r="F336" s="9"/>
    </row>
    <row r="337" spans="1:6" x14ac:dyDescent="0.3">
      <c r="A337" t="s">
        <v>944</v>
      </c>
      <c r="B337" s="1" t="s">
        <v>943</v>
      </c>
      <c r="C337" s="1" t="s">
        <v>1058</v>
      </c>
      <c r="D337" s="1" t="s">
        <v>1065</v>
      </c>
      <c r="E337" s="9" t="s">
        <v>1423</v>
      </c>
      <c r="F337" s="9"/>
    </row>
    <row r="338" spans="1:6" x14ac:dyDescent="0.3">
      <c r="A338" t="s">
        <v>946</v>
      </c>
      <c r="B338" s="1" t="s">
        <v>945</v>
      </c>
      <c r="C338" s="1" t="s">
        <v>1058</v>
      </c>
      <c r="D338" s="1" t="s">
        <v>1065</v>
      </c>
      <c r="E338" s="9" t="s">
        <v>1423</v>
      </c>
      <c r="F338" s="9"/>
    </row>
    <row r="339" spans="1:6" x14ac:dyDescent="0.3">
      <c r="A339" t="s">
        <v>948</v>
      </c>
      <c r="B339" s="1" t="s">
        <v>947</v>
      </c>
      <c r="C339" s="1" t="s">
        <v>1058</v>
      </c>
      <c r="D339" s="1" t="s">
        <v>1065</v>
      </c>
      <c r="E339" s="9" t="s">
        <v>1423</v>
      </c>
      <c r="F339" s="9"/>
    </row>
    <row r="340" spans="1:6" x14ac:dyDescent="0.3">
      <c r="A340" t="s">
        <v>950</v>
      </c>
      <c r="B340" s="1" t="s">
        <v>949</v>
      </c>
      <c r="C340" s="1" t="s">
        <v>1058</v>
      </c>
      <c r="D340" s="1" t="s">
        <v>1065</v>
      </c>
      <c r="E340" s="9" t="s">
        <v>1423</v>
      </c>
      <c r="F340" s="9"/>
    </row>
    <row r="341" spans="1:6" x14ac:dyDescent="0.3">
      <c r="A341" t="s">
        <v>956</v>
      </c>
      <c r="B341" s="1" t="s">
        <v>955</v>
      </c>
      <c r="C341" s="1" t="s">
        <v>1058</v>
      </c>
      <c r="D341" s="1" t="s">
        <v>1065</v>
      </c>
      <c r="E341" s="9" t="s">
        <v>1423</v>
      </c>
      <c r="F341" s="9"/>
    </row>
    <row r="342" spans="1:6" x14ac:dyDescent="0.3">
      <c r="A342" t="s">
        <v>958</v>
      </c>
      <c r="B342" s="1" t="s">
        <v>957</v>
      </c>
      <c r="C342" s="1" t="s">
        <v>1058</v>
      </c>
      <c r="D342" s="1" t="s">
        <v>1065</v>
      </c>
      <c r="E342" s="9" t="s">
        <v>1423</v>
      </c>
      <c r="F342" s="9"/>
    </row>
    <row r="343" spans="1:6" x14ac:dyDescent="0.3">
      <c r="A343" t="s">
        <v>952</v>
      </c>
      <c r="B343" s="1" t="s">
        <v>951</v>
      </c>
      <c r="C343" s="1" t="s">
        <v>1058</v>
      </c>
      <c r="D343" s="1" t="s">
        <v>1065</v>
      </c>
      <c r="E343" s="9" t="s">
        <v>1423</v>
      </c>
      <c r="F343" s="9"/>
    </row>
    <row r="344" spans="1:6" x14ac:dyDescent="0.3">
      <c r="A344" t="s">
        <v>954</v>
      </c>
      <c r="B344" s="1" t="s">
        <v>953</v>
      </c>
      <c r="C344" s="1" t="s">
        <v>1058</v>
      </c>
      <c r="D344" s="1" t="s">
        <v>1065</v>
      </c>
      <c r="E344" s="9" t="s">
        <v>1423</v>
      </c>
      <c r="F344" s="9"/>
    </row>
    <row r="345" spans="1:6" x14ac:dyDescent="0.3">
      <c r="A345" t="s">
        <v>562</v>
      </c>
      <c r="B345" s="1" t="s">
        <v>561</v>
      </c>
      <c r="C345" s="1" t="s">
        <v>1058</v>
      </c>
      <c r="D345" s="1" t="s">
        <v>1068</v>
      </c>
      <c r="E345" s="9">
        <v>0</v>
      </c>
      <c r="F345" s="9"/>
    </row>
    <row r="346" spans="1:6" x14ac:dyDescent="0.3">
      <c r="A346" t="s">
        <v>822</v>
      </c>
      <c r="B346" s="1" t="s">
        <v>821</v>
      </c>
      <c r="C346" s="1" t="s">
        <v>1046</v>
      </c>
      <c r="D346" s="1" t="s">
        <v>1049</v>
      </c>
      <c r="E346" s="9" t="s">
        <v>1401</v>
      </c>
      <c r="F346" s="9"/>
    </row>
    <row r="347" spans="1:6" x14ac:dyDescent="0.3">
      <c r="A347" t="s">
        <v>576</v>
      </c>
      <c r="B347" s="1" t="s">
        <v>575</v>
      </c>
      <c r="C347" s="1" t="s">
        <v>1058</v>
      </c>
      <c r="D347" s="1" t="s">
        <v>1029</v>
      </c>
      <c r="E347" s="9" t="s">
        <v>1295</v>
      </c>
      <c r="F347" s="9"/>
    </row>
    <row r="348" spans="1:6" x14ac:dyDescent="0.3">
      <c r="A348" t="s">
        <v>433</v>
      </c>
      <c r="B348" s="1" t="s">
        <v>432</v>
      </c>
      <c r="C348" s="1" t="s">
        <v>1033</v>
      </c>
      <c r="D348" s="1" t="s">
        <v>1028</v>
      </c>
      <c r="E348" s="9" t="s">
        <v>1232</v>
      </c>
      <c r="F348" s="9"/>
    </row>
    <row r="349" spans="1:6" x14ac:dyDescent="0.3">
      <c r="A349" t="s">
        <v>724</v>
      </c>
      <c r="B349" s="1" t="s">
        <v>723</v>
      </c>
      <c r="C349" s="1" t="s">
        <v>1046</v>
      </c>
      <c r="D349" s="1" t="s">
        <v>1047</v>
      </c>
      <c r="E349" s="9" t="s">
        <v>1354</v>
      </c>
      <c r="F349" s="9"/>
    </row>
    <row r="350" spans="1:6" x14ac:dyDescent="0.3">
      <c r="A350" t="s">
        <v>760</v>
      </c>
      <c r="B350" s="1" t="s">
        <v>759</v>
      </c>
      <c r="C350" s="1" t="s">
        <v>1046</v>
      </c>
      <c r="D350" s="1" t="s">
        <v>1047</v>
      </c>
      <c r="E350" s="9" t="s">
        <v>1371</v>
      </c>
      <c r="F350" s="9"/>
    </row>
    <row r="351" spans="1:6" x14ac:dyDescent="0.3">
      <c r="A351" t="s">
        <v>726</v>
      </c>
      <c r="B351" s="1" t="s">
        <v>725</v>
      </c>
      <c r="C351" s="1" t="s">
        <v>1046</v>
      </c>
      <c r="D351" s="1" t="s">
        <v>1047</v>
      </c>
      <c r="E351" s="9" t="s">
        <v>1355</v>
      </c>
      <c r="F351" s="9"/>
    </row>
    <row r="352" spans="1:6" x14ac:dyDescent="0.3">
      <c r="A352" t="s">
        <v>764</v>
      </c>
      <c r="B352" s="1" t="s">
        <v>763</v>
      </c>
      <c r="C352" s="1" t="s">
        <v>1046</v>
      </c>
      <c r="D352" s="1" t="s">
        <v>1048</v>
      </c>
      <c r="E352" s="9" t="s">
        <v>1373</v>
      </c>
      <c r="F352" s="9"/>
    </row>
    <row r="353" spans="1:6" x14ac:dyDescent="0.3">
      <c r="A353" t="s">
        <v>768</v>
      </c>
      <c r="B353" s="1" t="s">
        <v>767</v>
      </c>
      <c r="C353" s="1" t="s">
        <v>1046</v>
      </c>
      <c r="D353" s="1" t="s">
        <v>1048</v>
      </c>
      <c r="E353" s="9" t="s">
        <v>1375</v>
      </c>
      <c r="F353" s="9"/>
    </row>
    <row r="354" spans="1:6" x14ac:dyDescent="0.3">
      <c r="A354" t="s">
        <v>770</v>
      </c>
      <c r="B354" s="1" t="s">
        <v>769</v>
      </c>
      <c r="C354" s="1" t="s">
        <v>1046</v>
      </c>
      <c r="D354" s="1" t="s">
        <v>1048</v>
      </c>
      <c r="E354" s="9" t="s">
        <v>1376</v>
      </c>
      <c r="F354" s="9"/>
    </row>
    <row r="355" spans="1:6" x14ac:dyDescent="0.3">
      <c r="A355" t="s">
        <v>381</v>
      </c>
      <c r="B355" s="1" t="s">
        <v>380</v>
      </c>
      <c r="C355" s="1" t="s">
        <v>1033</v>
      </c>
      <c r="D355" s="1" t="s">
        <v>1034</v>
      </c>
      <c r="E355" s="9" t="s">
        <v>1207</v>
      </c>
      <c r="F355" s="9"/>
    </row>
    <row r="356" spans="1:6" x14ac:dyDescent="0.3">
      <c r="A356" t="s">
        <v>365</v>
      </c>
      <c r="B356" s="1" t="s">
        <v>364</v>
      </c>
      <c r="C356" s="1" t="s">
        <v>1033</v>
      </c>
      <c r="D356" s="1" t="s">
        <v>1034</v>
      </c>
      <c r="E356" s="9" t="s">
        <v>1200</v>
      </c>
      <c r="F356" s="9"/>
    </row>
    <row r="357" spans="1:6" x14ac:dyDescent="0.3">
      <c r="A357" t="s">
        <v>383</v>
      </c>
      <c r="B357" s="1" t="s">
        <v>382</v>
      </c>
      <c r="C357" s="1" t="s">
        <v>1033</v>
      </c>
      <c r="D357" s="1" t="s">
        <v>1034</v>
      </c>
      <c r="E357" s="9" t="s">
        <v>1208</v>
      </c>
      <c r="F357" s="9"/>
    </row>
    <row r="358" spans="1:6" x14ac:dyDescent="0.3">
      <c r="A358" t="s">
        <v>461</v>
      </c>
      <c r="B358" s="1" t="s">
        <v>460</v>
      </c>
      <c r="C358" s="1" t="s">
        <v>1046</v>
      </c>
      <c r="D358" s="1" t="s">
        <v>1050</v>
      </c>
      <c r="E358" s="9" t="s">
        <v>1245</v>
      </c>
      <c r="F358" s="9"/>
    </row>
    <row r="359" spans="1:6" x14ac:dyDescent="0.3">
      <c r="A359" t="s">
        <v>870</v>
      </c>
      <c r="B359" s="1" t="s">
        <v>869</v>
      </c>
      <c r="C359" s="1" t="s">
        <v>1058</v>
      </c>
      <c r="D359" s="1" t="s">
        <v>1065</v>
      </c>
      <c r="E359" s="9" t="s">
        <v>1424</v>
      </c>
      <c r="F359" s="9"/>
    </row>
    <row r="360" spans="1:6" x14ac:dyDescent="0.3">
      <c r="A360" t="s">
        <v>27</v>
      </c>
      <c r="B360" s="1" t="s">
        <v>1497</v>
      </c>
      <c r="C360" s="1" t="s">
        <v>1058</v>
      </c>
      <c r="D360" s="1" t="s">
        <v>1064</v>
      </c>
      <c r="E360" s="9" t="s">
        <v>1085</v>
      </c>
      <c r="F360" s="9"/>
    </row>
    <row r="361" spans="1:6" x14ac:dyDescent="0.3">
      <c r="A361" t="s">
        <v>7</v>
      </c>
      <c r="B361" s="1" t="s">
        <v>6</v>
      </c>
      <c r="C361" s="1" t="s">
        <v>1055</v>
      </c>
      <c r="D361" s="1" t="s">
        <v>1057</v>
      </c>
      <c r="E361" s="9" t="s">
        <v>1096</v>
      </c>
      <c r="F361" s="9"/>
    </row>
    <row r="362" spans="1:6" x14ac:dyDescent="0.3">
      <c r="A362" t="s">
        <v>8</v>
      </c>
      <c r="B362" s="1" t="s">
        <v>1475</v>
      </c>
      <c r="C362" s="1" t="s">
        <v>1055</v>
      </c>
      <c r="D362" s="1" t="s">
        <v>1057</v>
      </c>
      <c r="E362" s="9" t="s">
        <v>1072</v>
      </c>
      <c r="F362" s="9"/>
    </row>
    <row r="363" spans="1:6" x14ac:dyDescent="0.3">
      <c r="A363" t="s">
        <v>722</v>
      </c>
      <c r="B363" s="1" t="s">
        <v>721</v>
      </c>
      <c r="C363" s="1" t="s">
        <v>1046</v>
      </c>
      <c r="D363" s="1" t="s">
        <v>1047</v>
      </c>
      <c r="E363" s="9" t="s">
        <v>1353</v>
      </c>
      <c r="F363" s="9"/>
    </row>
    <row r="364" spans="1:6" x14ac:dyDescent="0.3">
      <c r="A364" t="s">
        <v>590</v>
      </c>
      <c r="B364" s="1" t="s">
        <v>589</v>
      </c>
      <c r="C364" s="1" t="s">
        <v>1058</v>
      </c>
      <c r="D364" s="1" t="s">
        <v>1029</v>
      </c>
      <c r="E364" s="9" t="s">
        <v>1302</v>
      </c>
      <c r="F364" s="9"/>
    </row>
    <row r="365" spans="1:6" x14ac:dyDescent="0.3">
      <c r="A365" t="s">
        <v>481</v>
      </c>
      <c r="B365" s="1" t="s">
        <v>480</v>
      </c>
      <c r="C365" s="1" t="s">
        <v>1055</v>
      </c>
      <c r="D365" s="1" t="s">
        <v>1057</v>
      </c>
      <c r="E365" s="9" t="s">
        <v>1255</v>
      </c>
      <c r="F365" s="9"/>
    </row>
    <row r="366" spans="1:6" x14ac:dyDescent="0.3">
      <c r="A366" t="s">
        <v>660</v>
      </c>
      <c r="B366" s="1" t="s">
        <v>1063</v>
      </c>
      <c r="C366" s="1" t="s">
        <v>1058</v>
      </c>
      <c r="D366" s="1" t="s">
        <v>1044</v>
      </c>
      <c r="E366" s="9" t="s">
        <v>1329</v>
      </c>
      <c r="F366" s="9"/>
    </row>
    <row r="367" spans="1:6" x14ac:dyDescent="0.3">
      <c r="A367" t="s">
        <v>818</v>
      </c>
      <c r="B367" s="1" t="s">
        <v>817</v>
      </c>
      <c r="C367" s="1" t="s">
        <v>1055</v>
      </c>
      <c r="D367" s="1" t="s">
        <v>1066</v>
      </c>
      <c r="E367" s="9" t="s">
        <v>1400</v>
      </c>
      <c r="F367" s="9"/>
    </row>
    <row r="368" spans="1:6" x14ac:dyDescent="0.3">
      <c r="A368" t="s">
        <v>820</v>
      </c>
      <c r="B368" s="1" t="s">
        <v>819</v>
      </c>
      <c r="C368" s="1" t="s">
        <v>1055</v>
      </c>
      <c r="D368" s="1" t="s">
        <v>1066</v>
      </c>
      <c r="E368" s="9" t="s">
        <v>1400</v>
      </c>
      <c r="F368" s="9"/>
    </row>
    <row r="369" spans="1:6" x14ac:dyDescent="0.3">
      <c r="A369" t="s">
        <v>668</v>
      </c>
      <c r="B369" s="1" t="s">
        <v>667</v>
      </c>
      <c r="C369" s="1" t="s">
        <v>1058</v>
      </c>
      <c r="D369" s="1" t="s">
        <v>1065</v>
      </c>
      <c r="E369" s="9" t="s">
        <v>1333</v>
      </c>
      <c r="F369" s="9"/>
    </row>
    <row r="370" spans="1:6" x14ac:dyDescent="0.3">
      <c r="A370" t="s">
        <v>670</v>
      </c>
      <c r="B370" s="1" t="s">
        <v>669</v>
      </c>
      <c r="C370" s="1" t="s">
        <v>1058</v>
      </c>
      <c r="D370" s="1" t="s">
        <v>1065</v>
      </c>
      <c r="E370" s="9" t="s">
        <v>1334</v>
      </c>
      <c r="F370" s="9"/>
    </row>
    <row r="371" spans="1:6" x14ac:dyDescent="0.3">
      <c r="A371" t="s">
        <v>672</v>
      </c>
      <c r="B371" s="1" t="s">
        <v>671</v>
      </c>
      <c r="C371" s="1" t="s">
        <v>1058</v>
      </c>
      <c r="D371" s="1" t="s">
        <v>1065</v>
      </c>
      <c r="E371" s="9" t="s">
        <v>1335</v>
      </c>
      <c r="F371" s="9"/>
    </row>
    <row r="372" spans="1:6" x14ac:dyDescent="0.3">
      <c r="A372" t="s">
        <v>44</v>
      </c>
      <c r="B372" s="1" t="s">
        <v>1605</v>
      </c>
      <c r="C372" s="1" t="s">
        <v>1046</v>
      </c>
      <c r="D372" s="1" t="s">
        <v>1050</v>
      </c>
      <c r="E372" s="9" t="s">
        <v>1093</v>
      </c>
      <c r="F372" s="9"/>
    </row>
    <row r="373" spans="1:6" x14ac:dyDescent="0.3">
      <c r="A373" t="s">
        <v>50</v>
      </c>
      <c r="B373" s="1" t="s">
        <v>49</v>
      </c>
      <c r="C373" s="1" t="s">
        <v>1046</v>
      </c>
      <c r="D373" s="1" t="s">
        <v>1050</v>
      </c>
      <c r="E373" s="9" t="s">
        <v>1093</v>
      </c>
      <c r="F373" s="9"/>
    </row>
    <row r="374" spans="1:6" x14ac:dyDescent="0.3">
      <c r="A374" t="s">
        <v>52</v>
      </c>
      <c r="B374" s="1" t="s">
        <v>51</v>
      </c>
      <c r="C374" s="1" t="s">
        <v>1046</v>
      </c>
      <c r="D374" s="1" t="s">
        <v>1050</v>
      </c>
      <c r="E374" s="9" t="s">
        <v>1093</v>
      </c>
      <c r="F374" s="9"/>
    </row>
    <row r="375" spans="1:6" x14ac:dyDescent="0.3">
      <c r="A375" t="s">
        <v>45</v>
      </c>
      <c r="B375" s="1" t="s">
        <v>1622</v>
      </c>
      <c r="C375" s="1" t="s">
        <v>1046</v>
      </c>
      <c r="D375" s="1" t="s">
        <v>1050</v>
      </c>
      <c r="E375" s="9" t="s">
        <v>1093</v>
      </c>
      <c r="F375" s="9"/>
    </row>
    <row r="376" spans="1:6" x14ac:dyDescent="0.3">
      <c r="A376" t="s">
        <v>54</v>
      </c>
      <c r="B376" s="1" t="s">
        <v>53</v>
      </c>
      <c r="C376" s="1" t="s">
        <v>1046</v>
      </c>
      <c r="D376" s="1" t="s">
        <v>1050</v>
      </c>
      <c r="E376" s="9" t="s">
        <v>1093</v>
      </c>
      <c r="F376" s="9"/>
    </row>
    <row r="377" spans="1:6" x14ac:dyDescent="0.3">
      <c r="A377" t="s">
        <v>46</v>
      </c>
      <c r="B377" s="1" t="s">
        <v>1627</v>
      </c>
      <c r="C377" s="1" t="s">
        <v>1046</v>
      </c>
      <c r="D377" s="1" t="s">
        <v>1050</v>
      </c>
      <c r="E377" s="9" t="s">
        <v>1093</v>
      </c>
      <c r="F377" s="9"/>
    </row>
    <row r="378" spans="1:6" x14ac:dyDescent="0.3">
      <c r="A378" t="s">
        <v>48</v>
      </c>
      <c r="B378" s="1" t="s">
        <v>47</v>
      </c>
      <c r="C378" s="1" t="s">
        <v>1046</v>
      </c>
      <c r="D378" s="1" t="s">
        <v>1050</v>
      </c>
      <c r="E378" s="9" t="s">
        <v>1093</v>
      </c>
      <c r="F378" s="9"/>
    </row>
    <row r="379" spans="1:6" x14ac:dyDescent="0.3">
      <c r="A379" t="s">
        <v>688</v>
      </c>
      <c r="B379" s="1" t="s">
        <v>687</v>
      </c>
      <c r="C379" s="1" t="s">
        <v>1046</v>
      </c>
      <c r="D379" s="1" t="s">
        <v>1047</v>
      </c>
      <c r="E379" s="9" t="s">
        <v>1343</v>
      </c>
      <c r="F379" s="9"/>
    </row>
    <row r="380" spans="1:6" x14ac:dyDescent="0.3">
      <c r="A380" t="s">
        <v>367</v>
      </c>
      <c r="B380" s="1" t="s">
        <v>366</v>
      </c>
      <c r="C380" s="1" t="s">
        <v>1033</v>
      </c>
      <c r="D380" s="1" t="s">
        <v>1034</v>
      </c>
      <c r="E380" s="9" t="s">
        <v>1201</v>
      </c>
      <c r="F380" s="9"/>
    </row>
    <row r="381" spans="1:6" x14ac:dyDescent="0.3">
      <c r="A381" t="s">
        <v>882</v>
      </c>
      <c r="B381" s="1" t="s">
        <v>881</v>
      </c>
      <c r="C381" s="1" t="s">
        <v>1058</v>
      </c>
      <c r="D381" s="1" t="s">
        <v>1065</v>
      </c>
      <c r="E381" s="9" t="s">
        <v>1425</v>
      </c>
      <c r="F381" s="9"/>
    </row>
    <row r="382" spans="1:6" x14ac:dyDescent="0.3">
      <c r="A382" t="s">
        <v>754</v>
      </c>
      <c r="B382" s="1" t="s">
        <v>753</v>
      </c>
      <c r="C382" s="1" t="s">
        <v>1058</v>
      </c>
      <c r="D382" s="1" t="s">
        <v>1029</v>
      </c>
      <c r="E382" s="9" t="s">
        <v>1368</v>
      </c>
      <c r="F382" s="9"/>
    </row>
    <row r="383" spans="1:6" x14ac:dyDescent="0.3">
      <c r="A383" t="s">
        <v>453</v>
      </c>
      <c r="B383" s="1" t="s">
        <v>452</v>
      </c>
      <c r="C383" s="1" t="s">
        <v>1055</v>
      </c>
      <c r="D383" s="1" t="s">
        <v>1060</v>
      </c>
      <c r="E383" s="9" t="s">
        <v>1242</v>
      </c>
      <c r="F383" s="9"/>
    </row>
    <row r="384" spans="1:6" x14ac:dyDescent="0.3">
      <c r="A384" t="s">
        <v>752</v>
      </c>
      <c r="B384" s="1" t="s">
        <v>751</v>
      </c>
      <c r="C384" s="1" t="s">
        <v>1046</v>
      </c>
      <c r="D384" s="1" t="s">
        <v>1047</v>
      </c>
      <c r="E384" s="9" t="s">
        <v>1367</v>
      </c>
      <c r="F384" s="9"/>
    </row>
    <row r="385" spans="1:6" x14ac:dyDescent="0.3">
      <c r="A385" t="s">
        <v>676</v>
      </c>
      <c r="B385" s="1" t="s">
        <v>675</v>
      </c>
      <c r="C385" s="1" t="s">
        <v>1058</v>
      </c>
      <c r="D385" s="1" t="s">
        <v>1045</v>
      </c>
      <c r="E385" s="9" t="s">
        <v>1337</v>
      </c>
      <c r="F385" s="9"/>
    </row>
    <row r="386" spans="1:6" x14ac:dyDescent="0.3">
      <c r="A386" t="s">
        <v>682</v>
      </c>
      <c r="B386" s="1" t="s">
        <v>681</v>
      </c>
      <c r="C386" s="1" t="s">
        <v>1058</v>
      </c>
      <c r="D386" s="1" t="s">
        <v>1045</v>
      </c>
      <c r="E386" s="9" t="s">
        <v>1340</v>
      </c>
      <c r="F386" s="9"/>
    </row>
    <row r="387" spans="1:6" x14ac:dyDescent="0.3">
      <c r="A387" t="s">
        <v>451</v>
      </c>
      <c r="B387" s="1" t="s">
        <v>450</v>
      </c>
      <c r="C387" s="1" t="s">
        <v>1055</v>
      </c>
      <c r="D387" s="1" t="s">
        <v>1060</v>
      </c>
      <c r="E387" s="9" t="s">
        <v>1241</v>
      </c>
      <c r="F387" s="9"/>
    </row>
    <row r="388" spans="1:6" x14ac:dyDescent="0.3">
      <c r="A388" t="s">
        <v>690</v>
      </c>
      <c r="B388" s="1" t="s">
        <v>689</v>
      </c>
      <c r="C388" s="1" t="s">
        <v>1051</v>
      </c>
      <c r="D388" s="1" t="s">
        <v>1052</v>
      </c>
      <c r="E388" s="9" t="s">
        <v>1344</v>
      </c>
      <c r="F388" s="9"/>
    </row>
    <row r="389" spans="1:6" x14ac:dyDescent="0.3">
      <c r="A389" t="s">
        <v>692</v>
      </c>
      <c r="B389" s="1" t="s">
        <v>691</v>
      </c>
      <c r="C389" s="1" t="s">
        <v>1051</v>
      </c>
      <c r="D389" s="1" t="s">
        <v>1052</v>
      </c>
      <c r="E389" s="9" t="s">
        <v>1344</v>
      </c>
      <c r="F389" s="9"/>
    </row>
    <row r="390" spans="1:6" x14ac:dyDescent="0.3">
      <c r="A390" t="s">
        <v>694</v>
      </c>
      <c r="B390" s="1" t="s">
        <v>693</v>
      </c>
      <c r="C390" s="1" t="s">
        <v>1051</v>
      </c>
      <c r="D390" s="1" t="s">
        <v>1052</v>
      </c>
      <c r="E390" s="9" t="s">
        <v>1344</v>
      </c>
      <c r="F390" s="9"/>
    </row>
    <row r="391" spans="1:6" x14ac:dyDescent="0.3">
      <c r="A391" t="s">
        <v>560</v>
      </c>
      <c r="B391" s="1" t="s">
        <v>559</v>
      </c>
      <c r="C391" s="1" t="s">
        <v>1058</v>
      </c>
      <c r="D391" s="1" t="s">
        <v>1068</v>
      </c>
      <c r="E391" s="9">
        <v>0</v>
      </c>
      <c r="F391" s="9"/>
    </row>
    <row r="392" spans="1:6" x14ac:dyDescent="0.3">
      <c r="A392" t="s">
        <v>716</v>
      </c>
      <c r="B392" s="1" t="s">
        <v>715</v>
      </c>
      <c r="C392" s="1" t="s">
        <v>1055</v>
      </c>
      <c r="D392" s="1" t="s">
        <v>1070</v>
      </c>
      <c r="E392" s="9" t="s">
        <v>1350</v>
      </c>
      <c r="F392" s="9"/>
    </row>
    <row r="393" spans="1:6" x14ac:dyDescent="0.3">
      <c r="A393" t="s">
        <v>720</v>
      </c>
      <c r="B393" s="1" t="s">
        <v>719</v>
      </c>
      <c r="C393" s="1" t="s">
        <v>1046</v>
      </c>
      <c r="D393" s="1" t="s">
        <v>1050</v>
      </c>
      <c r="E393" s="9" t="s">
        <v>1352</v>
      </c>
      <c r="F393" s="9"/>
    </row>
    <row r="394" spans="1:6" x14ac:dyDescent="0.3">
      <c r="A394" t="s">
        <v>872</v>
      </c>
      <c r="B394" s="1" t="s">
        <v>871</v>
      </c>
      <c r="C394" s="1" t="s">
        <v>1058</v>
      </c>
      <c r="D394" s="1" t="s">
        <v>1065</v>
      </c>
      <c r="E394" s="9" t="s">
        <v>1423</v>
      </c>
      <c r="F394" s="9"/>
    </row>
    <row r="395" spans="1:6" x14ac:dyDescent="0.3">
      <c r="A395" t="s">
        <v>878</v>
      </c>
      <c r="B395" s="1" t="s">
        <v>877</v>
      </c>
      <c r="C395" s="1" t="s">
        <v>1058</v>
      </c>
      <c r="D395" s="1" t="s">
        <v>1065</v>
      </c>
      <c r="E395" s="9" t="s">
        <v>1423</v>
      </c>
      <c r="F395" s="9"/>
    </row>
    <row r="396" spans="1:6" x14ac:dyDescent="0.3">
      <c r="A396" t="s">
        <v>469</v>
      </c>
      <c r="B396" s="1" t="s">
        <v>468</v>
      </c>
      <c r="C396" s="1" t="s">
        <v>1058</v>
      </c>
      <c r="D396" s="1" t="s">
        <v>1065</v>
      </c>
      <c r="E396" s="9" t="s">
        <v>1249</v>
      </c>
      <c r="F396" s="9"/>
    </row>
    <row r="397" spans="1:6" x14ac:dyDescent="0.3">
      <c r="A397" t="s">
        <v>471</v>
      </c>
      <c r="B397" s="1" t="s">
        <v>470</v>
      </c>
      <c r="C397" s="1" t="s">
        <v>1058</v>
      </c>
      <c r="D397" s="1" t="s">
        <v>1065</v>
      </c>
      <c r="E397" s="9" t="s">
        <v>1250</v>
      </c>
      <c r="F397" s="9"/>
    </row>
    <row r="398" spans="1:6" x14ac:dyDescent="0.3">
      <c r="A398" t="s">
        <v>473</v>
      </c>
      <c r="B398" s="1" t="s">
        <v>472</v>
      </c>
      <c r="C398" s="1" t="s">
        <v>1058</v>
      </c>
      <c r="D398" s="1" t="s">
        <v>1065</v>
      </c>
      <c r="E398" s="9" t="s">
        <v>1251</v>
      </c>
      <c r="F398" s="9"/>
    </row>
    <row r="399" spans="1:6" x14ac:dyDescent="0.3">
      <c r="A399" t="s">
        <v>475</v>
      </c>
      <c r="B399" s="1" t="s">
        <v>474</v>
      </c>
      <c r="C399" s="1" t="s">
        <v>1058</v>
      </c>
      <c r="D399" s="1" t="s">
        <v>1065</v>
      </c>
      <c r="E399" s="9" t="s">
        <v>1252</v>
      </c>
      <c r="F399" s="9"/>
    </row>
    <row r="400" spans="1:6" x14ac:dyDescent="0.3">
      <c r="A400" t="s">
        <v>495</v>
      </c>
      <c r="B400" s="1" t="s">
        <v>494</v>
      </c>
      <c r="C400" s="1" t="s">
        <v>1033</v>
      </c>
      <c r="D400" s="1" t="s">
        <v>1038</v>
      </c>
      <c r="E400" s="9" t="s">
        <v>1262</v>
      </c>
      <c r="F400" s="9"/>
    </row>
    <row r="401" spans="1:6" x14ac:dyDescent="0.3">
      <c r="A401" t="s">
        <v>493</v>
      </c>
      <c r="B401" s="1" t="s">
        <v>492</v>
      </c>
      <c r="C401" s="1" t="s">
        <v>1033</v>
      </c>
      <c r="D401" s="1" t="s">
        <v>1038</v>
      </c>
      <c r="E401" s="9" t="s">
        <v>1261</v>
      </c>
      <c r="F401" s="9"/>
    </row>
    <row r="402" spans="1:6" x14ac:dyDescent="0.3">
      <c r="A402" t="s">
        <v>868</v>
      </c>
      <c r="B402" s="1" t="s">
        <v>867</v>
      </c>
      <c r="C402" s="1" t="s">
        <v>1058</v>
      </c>
      <c r="D402" s="1" t="s">
        <v>1065</v>
      </c>
      <c r="E402" s="9" t="s">
        <v>1423</v>
      </c>
      <c r="F402" s="9"/>
    </row>
    <row r="403" spans="1:6" x14ac:dyDescent="0.3">
      <c r="A403" t="s">
        <v>928</v>
      </c>
      <c r="B403" s="1" t="s">
        <v>927</v>
      </c>
      <c r="C403" s="1" t="s">
        <v>1058</v>
      </c>
      <c r="D403" s="1" t="s">
        <v>1065</v>
      </c>
      <c r="E403" s="9" t="s">
        <v>1423</v>
      </c>
      <c r="F403" s="9"/>
    </row>
    <row r="404" spans="1:6" x14ac:dyDescent="0.3">
      <c r="A404" t="s">
        <v>421</v>
      </c>
      <c r="B404" s="1" t="s">
        <v>420</v>
      </c>
      <c r="C404" s="1" t="s">
        <v>1033</v>
      </c>
      <c r="D404" s="1" t="s">
        <v>1035</v>
      </c>
      <c r="E404" s="9" t="s">
        <v>1226</v>
      </c>
      <c r="F404" s="9"/>
    </row>
    <row r="405" spans="1:6" x14ac:dyDescent="0.3">
      <c r="A405" t="s">
        <v>786</v>
      </c>
      <c r="B405" s="1" t="s">
        <v>785</v>
      </c>
      <c r="C405" s="1" t="s">
        <v>1055</v>
      </c>
      <c r="D405" s="1" t="s">
        <v>1069</v>
      </c>
      <c r="E405" s="9" t="s">
        <v>1384</v>
      </c>
      <c r="F405" s="9"/>
    </row>
    <row r="406" spans="1:6" x14ac:dyDescent="0.3">
      <c r="A406" t="s">
        <v>784</v>
      </c>
      <c r="B406" s="1" t="s">
        <v>783</v>
      </c>
      <c r="C406" s="1" t="s">
        <v>1046</v>
      </c>
      <c r="D406" s="1" t="s">
        <v>1047</v>
      </c>
      <c r="E406" s="9" t="s">
        <v>1383</v>
      </c>
      <c r="F406" s="9"/>
    </row>
    <row r="407" spans="1:6" x14ac:dyDescent="0.3">
      <c r="A407" t="s">
        <v>1014</v>
      </c>
      <c r="B407" s="1" t="s">
        <v>1013</v>
      </c>
      <c r="C407" s="1" t="s">
        <v>1033</v>
      </c>
      <c r="D407" s="1" t="s">
        <v>1040</v>
      </c>
      <c r="E407" s="9" t="s">
        <v>1437</v>
      </c>
      <c r="F407" s="9"/>
    </row>
    <row r="408" spans="1:6" x14ac:dyDescent="0.3">
      <c r="A408" t="s">
        <v>1016</v>
      </c>
      <c r="B408" s="1" t="s">
        <v>1015</v>
      </c>
      <c r="C408" s="1" t="s">
        <v>1033</v>
      </c>
      <c r="D408" s="1" t="s">
        <v>1040</v>
      </c>
      <c r="E408" s="9" t="s">
        <v>1438</v>
      </c>
      <c r="F408" s="9"/>
    </row>
    <row r="409" spans="1:6" x14ac:dyDescent="0.3">
      <c r="A409" t="s">
        <v>287</v>
      </c>
      <c r="B409" s="1" t="s">
        <v>286</v>
      </c>
      <c r="C409" s="1" t="s">
        <v>1033</v>
      </c>
      <c r="D409" s="1" t="s">
        <v>1042</v>
      </c>
      <c r="E409" s="9" t="s">
        <v>1163</v>
      </c>
      <c r="F409" s="9"/>
    </row>
    <row r="410" spans="1:6" x14ac:dyDescent="0.3">
      <c r="A410" t="s">
        <v>293</v>
      </c>
      <c r="B410" s="1" t="s">
        <v>292</v>
      </c>
      <c r="C410" s="1" t="s">
        <v>1033</v>
      </c>
      <c r="D410" s="1" t="s">
        <v>1042</v>
      </c>
      <c r="E410" s="9" t="s">
        <v>1166</v>
      </c>
      <c r="F410" s="9"/>
    </row>
    <row r="411" spans="1:6" x14ac:dyDescent="0.3">
      <c r="A411" t="s">
        <v>289</v>
      </c>
      <c r="B411" s="1" t="s">
        <v>288</v>
      </c>
      <c r="C411" s="1" t="s">
        <v>1033</v>
      </c>
      <c r="D411" s="1" t="s">
        <v>1042</v>
      </c>
      <c r="E411" s="9" t="s">
        <v>1164</v>
      </c>
      <c r="F411" s="9"/>
    </row>
    <row r="412" spans="1:6" x14ac:dyDescent="0.3">
      <c r="A412" t="s">
        <v>295</v>
      </c>
      <c r="B412" s="1" t="s">
        <v>294</v>
      </c>
      <c r="C412" s="1" t="s">
        <v>1033</v>
      </c>
      <c r="D412" s="1" t="s">
        <v>1042</v>
      </c>
      <c r="E412" s="9" t="s">
        <v>1167</v>
      </c>
      <c r="F412" s="9"/>
    </row>
    <row r="413" spans="1:6" x14ac:dyDescent="0.3">
      <c r="A413" t="s">
        <v>291</v>
      </c>
      <c r="B413" s="1" t="s">
        <v>290</v>
      </c>
      <c r="C413" s="1" t="s">
        <v>1033</v>
      </c>
      <c r="D413" s="1" t="s">
        <v>1042</v>
      </c>
      <c r="E413" s="9" t="s">
        <v>1165</v>
      </c>
      <c r="F413" s="9"/>
    </row>
    <row r="414" spans="1:6" x14ac:dyDescent="0.3">
      <c r="A414" t="s">
        <v>297</v>
      </c>
      <c r="B414" s="1" t="s">
        <v>296</v>
      </c>
      <c r="C414" s="1" t="s">
        <v>1033</v>
      </c>
      <c r="D414" s="1" t="s">
        <v>1042</v>
      </c>
      <c r="E414" s="9" t="s">
        <v>1168</v>
      </c>
      <c r="F414" s="9"/>
    </row>
    <row r="415" spans="1:6" x14ac:dyDescent="0.3">
      <c r="A415" t="s">
        <v>299</v>
      </c>
      <c r="B415" s="1" t="s">
        <v>298</v>
      </c>
      <c r="C415" s="1" t="s">
        <v>1033</v>
      </c>
      <c r="D415" s="1" t="s">
        <v>1042</v>
      </c>
      <c r="E415" s="9" t="s">
        <v>1169</v>
      </c>
      <c r="F415" s="9"/>
    </row>
    <row r="416" spans="1:6" x14ac:dyDescent="0.3">
      <c r="A416" t="s">
        <v>307</v>
      </c>
      <c r="B416" s="1" t="s">
        <v>306</v>
      </c>
      <c r="C416" s="1" t="s">
        <v>1033</v>
      </c>
      <c r="D416" s="1" t="s">
        <v>1042</v>
      </c>
      <c r="E416" s="9" t="s">
        <v>1173</v>
      </c>
      <c r="F416" s="9"/>
    </row>
    <row r="417" spans="1:6" x14ac:dyDescent="0.3">
      <c r="A417" t="s">
        <v>309</v>
      </c>
      <c r="B417" s="1" t="s">
        <v>308</v>
      </c>
      <c r="C417" s="1" t="s">
        <v>1033</v>
      </c>
      <c r="D417" s="1" t="s">
        <v>1042</v>
      </c>
      <c r="E417" s="9" t="s">
        <v>1173</v>
      </c>
      <c r="F417" s="9"/>
    </row>
    <row r="418" spans="1:6" x14ac:dyDescent="0.3">
      <c r="A418" t="s">
        <v>311</v>
      </c>
      <c r="B418" s="1" t="s">
        <v>310</v>
      </c>
      <c r="C418" s="1" t="s">
        <v>1033</v>
      </c>
      <c r="D418" s="1" t="s">
        <v>1042</v>
      </c>
      <c r="E418" s="9" t="s">
        <v>1174</v>
      </c>
      <c r="F418" s="9"/>
    </row>
    <row r="419" spans="1:6" x14ac:dyDescent="0.3">
      <c r="A419" t="s">
        <v>313</v>
      </c>
      <c r="B419" s="1" t="s">
        <v>312</v>
      </c>
      <c r="C419" s="1" t="s">
        <v>1033</v>
      </c>
      <c r="D419" s="1" t="s">
        <v>1042</v>
      </c>
      <c r="E419" s="9" t="s">
        <v>1175</v>
      </c>
      <c r="F419" s="9"/>
    </row>
    <row r="420" spans="1:6" x14ac:dyDescent="0.3">
      <c r="A420" t="s">
        <v>319</v>
      </c>
      <c r="B420" s="1" t="s">
        <v>318</v>
      </c>
      <c r="C420" s="1" t="s">
        <v>1033</v>
      </c>
      <c r="D420" s="1" t="s">
        <v>1042</v>
      </c>
      <c r="E420" s="9" t="s">
        <v>1178</v>
      </c>
      <c r="F420" s="9"/>
    </row>
    <row r="421" spans="1:6" x14ac:dyDescent="0.3">
      <c r="A421" t="s">
        <v>301</v>
      </c>
      <c r="B421" s="1" t="s">
        <v>300</v>
      </c>
      <c r="C421" s="1" t="s">
        <v>1033</v>
      </c>
      <c r="D421" s="1" t="s">
        <v>1042</v>
      </c>
      <c r="E421" s="9" t="s">
        <v>1170</v>
      </c>
      <c r="F421" s="9"/>
    </row>
    <row r="422" spans="1:6" x14ac:dyDescent="0.3">
      <c r="A422" t="s">
        <v>303</v>
      </c>
      <c r="B422" s="1" t="s">
        <v>302</v>
      </c>
      <c r="C422" s="1" t="s">
        <v>1033</v>
      </c>
      <c r="D422" s="1" t="s">
        <v>1042</v>
      </c>
      <c r="E422" s="9" t="s">
        <v>1171</v>
      </c>
      <c r="F422" s="9"/>
    </row>
    <row r="423" spans="1:6" x14ac:dyDescent="0.3">
      <c r="A423" t="s">
        <v>305</v>
      </c>
      <c r="B423" s="1" t="s">
        <v>304</v>
      </c>
      <c r="C423" s="1" t="s">
        <v>1033</v>
      </c>
      <c r="D423" s="1" t="s">
        <v>1042</v>
      </c>
      <c r="E423" s="9" t="s">
        <v>1172</v>
      </c>
      <c r="F423" s="9"/>
    </row>
    <row r="424" spans="1:6" x14ac:dyDescent="0.3">
      <c r="A424" t="s">
        <v>315</v>
      </c>
      <c r="B424" s="1" t="s">
        <v>314</v>
      </c>
      <c r="C424" s="1" t="s">
        <v>1033</v>
      </c>
      <c r="D424" s="1" t="s">
        <v>1042</v>
      </c>
      <c r="E424" s="9" t="s">
        <v>1176</v>
      </c>
      <c r="F424" s="9"/>
    </row>
    <row r="425" spans="1:6" x14ac:dyDescent="0.3">
      <c r="A425" t="s">
        <v>317</v>
      </c>
      <c r="B425" s="1" t="s">
        <v>316</v>
      </c>
      <c r="C425" s="1" t="s">
        <v>1033</v>
      </c>
      <c r="D425" s="1" t="s">
        <v>1042</v>
      </c>
      <c r="E425" s="9" t="s">
        <v>1177</v>
      </c>
      <c r="F425" s="9"/>
    </row>
    <row r="426" spans="1:6" x14ac:dyDescent="0.3">
      <c r="A426" t="s">
        <v>115</v>
      </c>
      <c r="B426" s="1" t="s">
        <v>114</v>
      </c>
      <c r="C426" s="1" t="s">
        <v>1033</v>
      </c>
      <c r="D426" s="1" t="s">
        <v>1035</v>
      </c>
      <c r="E426" s="9" t="s">
        <v>1124</v>
      </c>
      <c r="F426" s="9"/>
    </row>
    <row r="427" spans="1:6" x14ac:dyDescent="0.3">
      <c r="A427" t="s">
        <v>540</v>
      </c>
      <c r="B427" s="1" t="s">
        <v>539</v>
      </c>
      <c r="C427" s="1" t="s">
        <v>1033</v>
      </c>
      <c r="D427" s="1" t="s">
        <v>1034</v>
      </c>
      <c r="E427" s="9" t="s">
        <v>1281</v>
      </c>
      <c r="F427" s="9"/>
    </row>
    <row r="428" spans="1:6" x14ac:dyDescent="0.3">
      <c r="A428" t="s">
        <v>542</v>
      </c>
      <c r="B428" s="1" t="s">
        <v>541</v>
      </c>
      <c r="C428" s="1" t="s">
        <v>1033</v>
      </c>
      <c r="D428" s="1" t="s">
        <v>1034</v>
      </c>
      <c r="E428" s="9" t="s">
        <v>1282</v>
      </c>
      <c r="F428" s="9"/>
    </row>
    <row r="429" spans="1:6" x14ac:dyDescent="0.3">
      <c r="A429" t="s">
        <v>385</v>
      </c>
      <c r="B429" s="1" t="s">
        <v>384</v>
      </c>
      <c r="C429" s="1" t="s">
        <v>1033</v>
      </c>
      <c r="D429" s="1" t="s">
        <v>1034</v>
      </c>
      <c r="E429" s="9" t="s">
        <v>1209</v>
      </c>
      <c r="F429" s="9"/>
    </row>
    <row r="430" spans="1:6" x14ac:dyDescent="0.3">
      <c r="A430" t="s">
        <v>389</v>
      </c>
      <c r="B430" s="1" t="s">
        <v>388</v>
      </c>
      <c r="C430" s="1" t="s">
        <v>1033</v>
      </c>
      <c r="D430" s="1" t="s">
        <v>1034</v>
      </c>
      <c r="E430" s="9" t="s">
        <v>1211</v>
      </c>
      <c r="F430" s="9"/>
    </row>
    <row r="431" spans="1:6" x14ac:dyDescent="0.3">
      <c r="A431" t="s">
        <v>29</v>
      </c>
      <c r="B431" s="1" t="s">
        <v>28</v>
      </c>
      <c r="C431" s="1" t="s">
        <v>1055</v>
      </c>
      <c r="D431" s="1" t="s">
        <v>1056</v>
      </c>
      <c r="E431" s="9" t="s">
        <v>1086</v>
      </c>
      <c r="F431" s="9"/>
    </row>
    <row r="432" spans="1:6" x14ac:dyDescent="0.3">
      <c r="A432" t="s">
        <v>35</v>
      </c>
      <c r="B432" s="1" t="s">
        <v>34</v>
      </c>
      <c r="C432" s="1" t="s">
        <v>1046</v>
      </c>
      <c r="D432" s="1" t="s">
        <v>1050</v>
      </c>
      <c r="E432" s="9" t="s">
        <v>1088</v>
      </c>
      <c r="F432" s="9"/>
    </row>
    <row r="433" spans="1:6" x14ac:dyDescent="0.3">
      <c r="A433" t="s">
        <v>840</v>
      </c>
      <c r="B433" s="1" t="s">
        <v>839</v>
      </c>
      <c r="C433" s="1" t="s">
        <v>1058</v>
      </c>
      <c r="D433" s="1" t="s">
        <v>1030</v>
      </c>
      <c r="E433" s="9" t="s">
        <v>1410</v>
      </c>
      <c r="F433" s="9"/>
    </row>
    <row r="434" spans="1:6" x14ac:dyDescent="0.3">
      <c r="A434" t="s">
        <v>419</v>
      </c>
      <c r="B434" s="1" t="s">
        <v>418</v>
      </c>
      <c r="C434" s="1" t="s">
        <v>1033</v>
      </c>
      <c r="D434" s="1" t="s">
        <v>1035</v>
      </c>
      <c r="E434" s="9" t="s">
        <v>1224</v>
      </c>
      <c r="F434" s="9"/>
    </row>
    <row r="435" spans="1:6" x14ac:dyDescent="0.3">
      <c r="A435" t="s">
        <v>379</v>
      </c>
      <c r="B435" s="1" t="s">
        <v>378</v>
      </c>
      <c r="C435" s="1" t="s">
        <v>1033</v>
      </c>
      <c r="D435" s="1" t="s">
        <v>1034</v>
      </c>
      <c r="E435" s="9" t="s">
        <v>1206</v>
      </c>
      <c r="F435" s="9"/>
    </row>
    <row r="436" spans="1:6" x14ac:dyDescent="0.3">
      <c r="A436" t="s">
        <v>718</v>
      </c>
      <c r="B436" s="1" t="s">
        <v>717</v>
      </c>
      <c r="C436" s="1" t="s">
        <v>1055</v>
      </c>
      <c r="D436" s="1" t="s">
        <v>1070</v>
      </c>
      <c r="E436" s="9" t="s">
        <v>1351</v>
      </c>
      <c r="F436" s="9"/>
    </row>
    <row r="437" spans="1:6" x14ac:dyDescent="0.3">
      <c r="A437" t="s">
        <v>546</v>
      </c>
      <c r="B437" s="1" t="s">
        <v>545</v>
      </c>
      <c r="C437" s="1" t="s">
        <v>1033</v>
      </c>
      <c r="D437" s="1" t="s">
        <v>1036</v>
      </c>
      <c r="E437" s="9" t="s">
        <v>1284</v>
      </c>
      <c r="F437" s="9"/>
    </row>
    <row r="438" spans="1:6" x14ac:dyDescent="0.3">
      <c r="A438" t="s">
        <v>552</v>
      </c>
      <c r="B438" s="1" t="s">
        <v>551</v>
      </c>
      <c r="C438" s="1" t="s">
        <v>1033</v>
      </c>
      <c r="D438" s="1" t="s">
        <v>1036</v>
      </c>
      <c r="E438" s="9" t="s">
        <v>1286</v>
      </c>
      <c r="F438" s="9"/>
    </row>
    <row r="439" spans="1:6" x14ac:dyDescent="0.3">
      <c r="A439" t="s">
        <v>550</v>
      </c>
      <c r="B439" s="1" t="s">
        <v>549</v>
      </c>
      <c r="C439" s="1" t="s">
        <v>1033</v>
      </c>
      <c r="D439" s="1" t="s">
        <v>1036</v>
      </c>
      <c r="E439" s="9" t="s">
        <v>1286</v>
      </c>
      <c r="F439" s="9"/>
    </row>
    <row r="440" spans="1:6" x14ac:dyDescent="0.3">
      <c r="A440" t="s">
        <v>686</v>
      </c>
      <c r="B440" s="1" t="s">
        <v>685</v>
      </c>
      <c r="C440" s="1" t="s">
        <v>1058</v>
      </c>
      <c r="D440" s="1" t="s">
        <v>1045</v>
      </c>
      <c r="E440" s="9" t="s">
        <v>1342</v>
      </c>
      <c r="F440" s="9"/>
    </row>
    <row r="441" spans="1:6" x14ac:dyDescent="0.3">
      <c r="A441" t="s">
        <v>678</v>
      </c>
      <c r="B441" s="1" t="s">
        <v>677</v>
      </c>
      <c r="C441" s="1" t="s">
        <v>1058</v>
      </c>
      <c r="D441" s="1" t="s">
        <v>1045</v>
      </c>
      <c r="E441" s="9" t="s">
        <v>1338</v>
      </c>
      <c r="F441" s="9"/>
    </row>
    <row r="442" spans="1:6" x14ac:dyDescent="0.3">
      <c r="A442" t="s">
        <v>680</v>
      </c>
      <c r="B442" s="1" t="s">
        <v>679</v>
      </c>
      <c r="C442" s="1" t="s">
        <v>1058</v>
      </c>
      <c r="D442" s="1" t="s">
        <v>1045</v>
      </c>
      <c r="E442" s="9" t="s">
        <v>1339</v>
      </c>
      <c r="F442" s="9"/>
    </row>
    <row r="443" spans="1:6" x14ac:dyDescent="0.3">
      <c r="A443" t="s">
        <v>728</v>
      </c>
      <c r="B443" s="1" t="s">
        <v>727</v>
      </c>
      <c r="C443" s="1" t="s">
        <v>1046</v>
      </c>
      <c r="D443" s="1" t="s">
        <v>1047</v>
      </c>
      <c r="E443" s="9" t="s">
        <v>1356</v>
      </c>
      <c r="F443" s="9"/>
    </row>
    <row r="444" spans="1:6" x14ac:dyDescent="0.3">
      <c r="A444" t="s">
        <v>732</v>
      </c>
      <c r="B444" s="1" t="s">
        <v>731</v>
      </c>
      <c r="C444" s="1" t="s">
        <v>1046</v>
      </c>
      <c r="D444" s="1" t="s">
        <v>1047</v>
      </c>
      <c r="E444" s="9" t="s">
        <v>1358</v>
      </c>
      <c r="F444" s="9"/>
    </row>
    <row r="445" spans="1:6" x14ac:dyDescent="0.3">
      <c r="A445" t="s">
        <v>734</v>
      </c>
      <c r="B445" s="1" t="s">
        <v>733</v>
      </c>
      <c r="C445" s="1" t="s">
        <v>1046</v>
      </c>
      <c r="D445" s="1" t="s">
        <v>1047</v>
      </c>
      <c r="E445" s="9" t="s">
        <v>1359</v>
      </c>
      <c r="F445" s="9"/>
    </row>
    <row r="446" spans="1:6" x14ac:dyDescent="0.3">
      <c r="A446" t="s">
        <v>141</v>
      </c>
      <c r="B446" s="1" t="s">
        <v>140</v>
      </c>
      <c r="C446" s="1" t="s">
        <v>1058</v>
      </c>
      <c r="D446" s="1" t="s">
        <v>1065</v>
      </c>
      <c r="E446" s="9" t="s">
        <v>1137</v>
      </c>
      <c r="F446" s="9"/>
    </row>
    <row r="447" spans="1:6" x14ac:dyDescent="0.3">
      <c r="A447" t="s">
        <v>137</v>
      </c>
      <c r="B447" s="1" t="s">
        <v>136</v>
      </c>
      <c r="C447" s="1" t="s">
        <v>1058</v>
      </c>
      <c r="D447" s="1" t="s">
        <v>1065</v>
      </c>
      <c r="E447" s="9" t="s">
        <v>1135</v>
      </c>
      <c r="F447" s="9"/>
    </row>
    <row r="448" spans="1:6" x14ac:dyDescent="0.3">
      <c r="A448" t="s">
        <v>139</v>
      </c>
      <c r="B448" s="1" t="s">
        <v>138</v>
      </c>
      <c r="C448" s="1" t="s">
        <v>1058</v>
      </c>
      <c r="D448" s="1" t="s">
        <v>1065</v>
      </c>
      <c r="E448" s="9" t="s">
        <v>1136</v>
      </c>
      <c r="F448" s="9"/>
    </row>
    <row r="449" spans="1:6" x14ac:dyDescent="0.3">
      <c r="A449" t="s">
        <v>135</v>
      </c>
      <c r="B449" s="1" t="s">
        <v>134</v>
      </c>
      <c r="C449" s="1" t="s">
        <v>1058</v>
      </c>
      <c r="D449" s="1" t="s">
        <v>1065</v>
      </c>
      <c r="E449" s="9" t="s">
        <v>1134</v>
      </c>
      <c r="F449" s="9"/>
    </row>
    <row r="450" spans="1:6" x14ac:dyDescent="0.3">
      <c r="A450" t="s">
        <v>127</v>
      </c>
      <c r="B450" s="1" t="s">
        <v>126</v>
      </c>
      <c r="C450" s="1" t="s">
        <v>1058</v>
      </c>
      <c r="D450" s="1" t="s">
        <v>1065</v>
      </c>
      <c r="E450" s="9" t="s">
        <v>1130</v>
      </c>
      <c r="F450" s="9"/>
    </row>
    <row r="451" spans="1:6" x14ac:dyDescent="0.3">
      <c r="A451" t="s">
        <v>133</v>
      </c>
      <c r="B451" s="1" t="s">
        <v>132</v>
      </c>
      <c r="C451" s="1" t="s">
        <v>1058</v>
      </c>
      <c r="D451" s="1" t="s">
        <v>1065</v>
      </c>
      <c r="E451" s="9" t="s">
        <v>1133</v>
      </c>
      <c r="F451" s="9"/>
    </row>
    <row r="452" spans="1:6" x14ac:dyDescent="0.3">
      <c r="A452" t="s">
        <v>129</v>
      </c>
      <c r="B452" s="1" t="s">
        <v>128</v>
      </c>
      <c r="C452" s="1" t="s">
        <v>1058</v>
      </c>
      <c r="D452" s="1" t="s">
        <v>1065</v>
      </c>
      <c r="E452" s="9" t="s">
        <v>1131</v>
      </c>
      <c r="F452" s="9"/>
    </row>
    <row r="453" spans="1:6" x14ac:dyDescent="0.3">
      <c r="A453" t="s">
        <v>131</v>
      </c>
      <c r="B453" s="1" t="s">
        <v>130</v>
      </c>
      <c r="C453" s="1" t="s">
        <v>1058</v>
      </c>
      <c r="D453" s="1" t="s">
        <v>1065</v>
      </c>
      <c r="E453" s="9" t="s">
        <v>1132</v>
      </c>
      <c r="F453" s="9"/>
    </row>
    <row r="454" spans="1:6" x14ac:dyDescent="0.3">
      <c r="A454" t="s">
        <v>828</v>
      </c>
      <c r="B454" s="1" t="s">
        <v>827</v>
      </c>
      <c r="C454" s="1" t="s">
        <v>1058</v>
      </c>
      <c r="D454" s="1" t="s">
        <v>1067</v>
      </c>
      <c r="E454" s="9" t="s">
        <v>1404</v>
      </c>
      <c r="F454" s="9"/>
    </row>
    <row r="455" spans="1:6" x14ac:dyDescent="0.3">
      <c r="A455" t="s">
        <v>85</v>
      </c>
      <c r="B455" s="1" t="s">
        <v>84</v>
      </c>
      <c r="C455" s="1" t="s">
        <v>1058</v>
      </c>
      <c r="D455" s="1" t="s">
        <v>1061</v>
      </c>
      <c r="E455" s="9" t="s">
        <v>1109</v>
      </c>
      <c r="F455" s="9"/>
    </row>
    <row r="456" spans="1:6" x14ac:dyDescent="0.3">
      <c r="A456" t="s">
        <v>87</v>
      </c>
      <c r="B456" s="1" t="s">
        <v>86</v>
      </c>
      <c r="C456" s="1" t="s">
        <v>1058</v>
      </c>
      <c r="D456" s="1" t="s">
        <v>1061</v>
      </c>
      <c r="E456" s="9" t="s">
        <v>1110</v>
      </c>
      <c r="F456" s="9"/>
    </row>
    <row r="457" spans="1:6" x14ac:dyDescent="0.3">
      <c r="A457" t="s">
        <v>89</v>
      </c>
      <c r="B457" s="1" t="s">
        <v>88</v>
      </c>
      <c r="C457" s="1" t="s">
        <v>1058</v>
      </c>
      <c r="D457" s="1" t="s">
        <v>1061</v>
      </c>
      <c r="E457" s="9" t="s">
        <v>1111</v>
      </c>
      <c r="F457" s="9"/>
    </row>
    <row r="458" spans="1:6" x14ac:dyDescent="0.3">
      <c r="A458" t="s">
        <v>850</v>
      </c>
      <c r="B458" s="1" t="s">
        <v>849</v>
      </c>
      <c r="C458" s="1" t="s">
        <v>1058</v>
      </c>
      <c r="D458" s="1" t="s">
        <v>1030</v>
      </c>
      <c r="E458" s="9" t="s">
        <v>1415</v>
      </c>
      <c r="F458" s="9"/>
    </row>
    <row r="459" spans="1:6" x14ac:dyDescent="0.3">
      <c r="A459" t="s">
        <v>858</v>
      </c>
      <c r="B459" s="1" t="s">
        <v>857</v>
      </c>
      <c r="C459" s="1" t="s">
        <v>1058</v>
      </c>
      <c r="D459" s="1" t="s">
        <v>1030</v>
      </c>
      <c r="E459" s="9" t="s">
        <v>1419</v>
      </c>
      <c r="F459" s="9"/>
    </row>
    <row r="460" spans="1:6" x14ac:dyDescent="0.3">
      <c r="A460" t="s">
        <v>860</v>
      </c>
      <c r="B460" s="1" t="s">
        <v>859</v>
      </c>
      <c r="C460" s="1" t="s">
        <v>1058</v>
      </c>
      <c r="D460" s="1" t="s">
        <v>1030</v>
      </c>
      <c r="E460" s="9" t="s">
        <v>1420</v>
      </c>
      <c r="F460" s="9"/>
    </row>
    <row r="461" spans="1:6" x14ac:dyDescent="0.3">
      <c r="A461" t="s">
        <v>846</v>
      </c>
      <c r="B461" s="1" t="s">
        <v>845</v>
      </c>
      <c r="C461" s="1" t="s">
        <v>1058</v>
      </c>
      <c r="D461" s="1" t="s">
        <v>1030</v>
      </c>
      <c r="E461" s="9" t="s">
        <v>1413</v>
      </c>
      <c r="F461" s="9"/>
    </row>
    <row r="462" spans="1:6" x14ac:dyDescent="0.3">
      <c r="A462" t="s">
        <v>842</v>
      </c>
      <c r="B462" s="1" t="s">
        <v>841</v>
      </c>
      <c r="C462" s="1" t="s">
        <v>1058</v>
      </c>
      <c r="D462" s="1" t="s">
        <v>1030</v>
      </c>
      <c r="E462" s="9" t="s">
        <v>1411</v>
      </c>
      <c r="F462" s="9"/>
    </row>
    <row r="463" spans="1:6" x14ac:dyDescent="0.3">
      <c r="A463" t="s">
        <v>802</v>
      </c>
      <c r="B463" s="1" t="s">
        <v>801</v>
      </c>
      <c r="C463" s="1" t="s">
        <v>1046</v>
      </c>
      <c r="D463" s="1" t="s">
        <v>1047</v>
      </c>
      <c r="E463" s="9" t="s">
        <v>1392</v>
      </c>
      <c r="F463" s="9"/>
    </row>
    <row r="464" spans="1:6" x14ac:dyDescent="0.3">
      <c r="A464" t="s">
        <v>896</v>
      </c>
      <c r="B464" s="1" t="s">
        <v>895</v>
      </c>
      <c r="C464" s="1" t="s">
        <v>1058</v>
      </c>
      <c r="D464" s="1" t="s">
        <v>1065</v>
      </c>
      <c r="E464" s="9" t="s">
        <v>1423</v>
      </c>
      <c r="F464" s="9"/>
    </row>
    <row r="465" spans="1:6" x14ac:dyDescent="0.3">
      <c r="A465" t="s">
        <v>884</v>
      </c>
      <c r="B465" s="1" t="s">
        <v>883</v>
      </c>
      <c r="C465" s="1" t="s">
        <v>1058</v>
      </c>
      <c r="D465" s="1" t="s">
        <v>1065</v>
      </c>
      <c r="E465" s="9" t="s">
        <v>1423</v>
      </c>
      <c r="F465" s="9"/>
    </row>
    <row r="466" spans="1:6" x14ac:dyDescent="0.3">
      <c r="A466" t="s">
        <v>880</v>
      </c>
      <c r="B466" s="1" t="s">
        <v>879</v>
      </c>
      <c r="C466" s="1" t="s">
        <v>1058</v>
      </c>
      <c r="D466" s="1" t="s">
        <v>1065</v>
      </c>
      <c r="E466" s="9" t="s">
        <v>1423</v>
      </c>
      <c r="F466" s="9"/>
    </row>
    <row r="467" spans="1:6" x14ac:dyDescent="0.3">
      <c r="A467" t="s">
        <v>886</v>
      </c>
      <c r="B467" s="1" t="s">
        <v>885</v>
      </c>
      <c r="C467" s="1" t="s">
        <v>1058</v>
      </c>
      <c r="D467" s="1" t="s">
        <v>1065</v>
      </c>
      <c r="E467" s="9" t="s">
        <v>1423</v>
      </c>
      <c r="F467" s="9"/>
    </row>
    <row r="468" spans="1:6" x14ac:dyDescent="0.3">
      <c r="A468" t="s">
        <v>900</v>
      </c>
      <c r="B468" s="1" t="s">
        <v>899</v>
      </c>
      <c r="C468" s="1" t="s">
        <v>1058</v>
      </c>
      <c r="D468" s="1" t="s">
        <v>1065</v>
      </c>
      <c r="E468" s="9" t="s">
        <v>1423</v>
      </c>
      <c r="F468" s="9"/>
    </row>
    <row r="469" spans="1:6" x14ac:dyDescent="0.3">
      <c r="A469" t="s">
        <v>93</v>
      </c>
      <c r="B469" s="1" t="s">
        <v>92</v>
      </c>
      <c r="C469" s="1" t="s">
        <v>1033</v>
      </c>
      <c r="D469" s="1" t="s">
        <v>1035</v>
      </c>
      <c r="E469" s="9" t="s">
        <v>1113</v>
      </c>
      <c r="F469" s="9"/>
    </row>
    <row r="470" spans="1:6" x14ac:dyDescent="0.3">
      <c r="A470" t="s">
        <v>592</v>
      </c>
      <c r="B470" s="1" t="s">
        <v>591</v>
      </c>
      <c r="C470" s="1" t="s">
        <v>1058</v>
      </c>
      <c r="D470" s="1" t="s">
        <v>1029</v>
      </c>
      <c r="E470" s="9" t="s">
        <v>1303</v>
      </c>
      <c r="F470" s="9"/>
    </row>
    <row r="471" spans="1:6" x14ac:dyDescent="0.3">
      <c r="A471" t="s">
        <v>862</v>
      </c>
      <c r="B471" s="1" t="s">
        <v>861</v>
      </c>
      <c r="C471" s="1" t="s">
        <v>1058</v>
      </c>
      <c r="D471" s="1" t="s">
        <v>1030</v>
      </c>
      <c r="E471" s="9" t="s">
        <v>1421</v>
      </c>
      <c r="F471" s="9"/>
    </row>
    <row r="472" spans="1:6" x14ac:dyDescent="0.3">
      <c r="A472" t="s">
        <v>594</v>
      </c>
      <c r="B472" s="1" t="s">
        <v>593</v>
      </c>
      <c r="C472" s="1" t="s">
        <v>1058</v>
      </c>
      <c r="D472" s="1" t="s">
        <v>1029</v>
      </c>
      <c r="E472" s="9" t="s">
        <v>1304</v>
      </c>
      <c r="F472" s="9"/>
    </row>
    <row r="473" spans="1:6" x14ac:dyDescent="0.3">
      <c r="A473" t="s">
        <v>738</v>
      </c>
      <c r="B473" s="1" t="s">
        <v>737</v>
      </c>
      <c r="C473" s="1" t="s">
        <v>1046</v>
      </c>
      <c r="D473" s="1" t="s">
        <v>1047</v>
      </c>
      <c r="E473" s="9" t="s">
        <v>1361</v>
      </c>
      <c r="F473" s="9"/>
    </row>
    <row r="474" spans="1:6" x14ac:dyDescent="0.3">
      <c r="A474" t="s">
        <v>740</v>
      </c>
      <c r="B474" s="1" t="s">
        <v>739</v>
      </c>
      <c r="C474" s="1" t="s">
        <v>1046</v>
      </c>
      <c r="D474" s="1" t="s">
        <v>1047</v>
      </c>
      <c r="E474" s="9" t="s">
        <v>1362</v>
      </c>
      <c r="F474" s="9"/>
    </row>
    <row r="475" spans="1:6" x14ac:dyDescent="0.3">
      <c r="A475" t="s">
        <v>814</v>
      </c>
      <c r="B475" s="1" t="s">
        <v>813</v>
      </c>
      <c r="C475" s="1" t="s">
        <v>1058</v>
      </c>
      <c r="D475" s="1" t="s">
        <v>1068</v>
      </c>
      <c r="E475" s="9" t="s">
        <v>1398</v>
      </c>
      <c r="F475" s="9"/>
    </row>
    <row r="476" spans="1:6" x14ac:dyDescent="0.3">
      <c r="A476" t="s">
        <v>750</v>
      </c>
      <c r="B476" s="1" t="s">
        <v>749</v>
      </c>
      <c r="C476" s="1" t="s">
        <v>1046</v>
      </c>
      <c r="D476" s="1" t="s">
        <v>1047</v>
      </c>
      <c r="E476" s="9" t="s">
        <v>1366</v>
      </c>
      <c r="F476" s="9"/>
    </row>
    <row r="477" spans="1:6" x14ac:dyDescent="0.3">
      <c r="A477" t="s">
        <v>790</v>
      </c>
      <c r="B477" s="1" t="s">
        <v>789</v>
      </c>
      <c r="C477" s="1" t="s">
        <v>1046</v>
      </c>
      <c r="D477" s="1" t="s">
        <v>1047</v>
      </c>
      <c r="E477" s="9" t="s">
        <v>1386</v>
      </c>
      <c r="F477" s="9"/>
    </row>
    <row r="478" spans="1:6" x14ac:dyDescent="0.3">
      <c r="A478" t="s">
        <v>792</v>
      </c>
      <c r="B478" s="1" t="s">
        <v>791</v>
      </c>
      <c r="C478" s="1" t="s">
        <v>1046</v>
      </c>
      <c r="D478" s="1" t="s">
        <v>1047</v>
      </c>
      <c r="E478" s="9" t="s">
        <v>1387</v>
      </c>
      <c r="F478" s="9"/>
    </row>
    <row r="479" spans="1:6" x14ac:dyDescent="0.3">
      <c r="A479" t="s">
        <v>730</v>
      </c>
      <c r="B479" s="1" t="s">
        <v>729</v>
      </c>
      <c r="C479" s="1" t="s">
        <v>1046</v>
      </c>
      <c r="D479" s="1" t="s">
        <v>1047</v>
      </c>
      <c r="E479" s="9" t="s">
        <v>1357</v>
      </c>
      <c r="F479" s="9"/>
    </row>
    <row r="480" spans="1:6" x14ac:dyDescent="0.3">
      <c r="A480" t="s">
        <v>736</v>
      </c>
      <c r="B480" s="1" t="s">
        <v>735</v>
      </c>
      <c r="C480" s="1" t="s">
        <v>1046</v>
      </c>
      <c r="D480" s="1" t="s">
        <v>1047</v>
      </c>
      <c r="E480" s="9" t="s">
        <v>1360</v>
      </c>
      <c r="F480" s="9"/>
    </row>
    <row r="481" spans="1:6" x14ac:dyDescent="0.3">
      <c r="A481" t="s">
        <v>11</v>
      </c>
      <c r="B481" s="1" t="s">
        <v>1485</v>
      </c>
      <c r="C481" s="1" t="s">
        <v>1055</v>
      </c>
      <c r="D481" s="1" t="s">
        <v>1057</v>
      </c>
      <c r="E481" s="9" t="s">
        <v>1097</v>
      </c>
      <c r="F481" s="9"/>
    </row>
    <row r="482" spans="1:6" x14ac:dyDescent="0.3">
      <c r="A482" t="s">
        <v>10</v>
      </c>
      <c r="B482" s="1" t="s">
        <v>1462</v>
      </c>
      <c r="C482" s="1" t="s">
        <v>1046</v>
      </c>
      <c r="D482" s="1" t="s">
        <v>1049</v>
      </c>
      <c r="E482" s="9" t="s">
        <v>1074</v>
      </c>
      <c r="F482" s="9"/>
    </row>
    <row r="483" spans="1:6" x14ac:dyDescent="0.3">
      <c r="A483" t="s">
        <v>375</v>
      </c>
      <c r="B483" s="1" t="s">
        <v>374</v>
      </c>
      <c r="C483" s="1" t="s">
        <v>1033</v>
      </c>
      <c r="D483" s="1" t="s">
        <v>1034</v>
      </c>
      <c r="E483" s="9" t="s">
        <v>1205</v>
      </c>
      <c r="F483" s="9"/>
    </row>
    <row r="484" spans="1:6" x14ac:dyDescent="0.3">
      <c r="A484" t="s">
        <v>744</v>
      </c>
      <c r="B484" s="1" t="s">
        <v>743</v>
      </c>
      <c r="C484" s="1" t="s">
        <v>1046</v>
      </c>
      <c r="D484" s="1" t="s">
        <v>1047</v>
      </c>
      <c r="E484" s="9" t="s">
        <v>1364</v>
      </c>
      <c r="F484" s="9"/>
    </row>
    <row r="485" spans="1:6" x14ac:dyDescent="0.3">
      <c r="A485" t="s">
        <v>742</v>
      </c>
      <c r="B485" s="1" t="s">
        <v>741</v>
      </c>
      <c r="C485" s="1" t="s">
        <v>1046</v>
      </c>
      <c r="D485" s="1" t="s">
        <v>1047</v>
      </c>
      <c r="E485" s="9" t="s">
        <v>1363</v>
      </c>
      <c r="F485" s="9"/>
    </row>
    <row r="486" spans="1:6" x14ac:dyDescent="0.3">
      <c r="A486" t="s">
        <v>746</v>
      </c>
      <c r="B486" s="1" t="s">
        <v>745</v>
      </c>
      <c r="C486" s="1" t="s">
        <v>1046</v>
      </c>
      <c r="D486" s="1" t="s">
        <v>1047</v>
      </c>
      <c r="E486" s="9" t="s">
        <v>1365</v>
      </c>
      <c r="F486" s="9"/>
    </row>
    <row r="487" spans="1:6" x14ac:dyDescent="0.3">
      <c r="A487" t="s">
        <v>748</v>
      </c>
      <c r="B487" s="1" t="s">
        <v>747</v>
      </c>
      <c r="C487" s="1" t="s">
        <v>1046</v>
      </c>
      <c r="D487" s="1" t="s">
        <v>1047</v>
      </c>
      <c r="E487" s="9" t="s">
        <v>1363</v>
      </c>
      <c r="F487" s="9"/>
    </row>
    <row r="488" spans="1:6" x14ac:dyDescent="0.3">
      <c r="A488" t="s">
        <v>79</v>
      </c>
      <c r="B488" s="1" t="s">
        <v>78</v>
      </c>
      <c r="C488" s="1" t="s">
        <v>1046</v>
      </c>
      <c r="D488" s="1" t="s">
        <v>1050</v>
      </c>
      <c r="E488" s="9" t="s">
        <v>1106</v>
      </c>
      <c r="F488" s="9"/>
    </row>
    <row r="489" spans="1:6" x14ac:dyDescent="0.3">
      <c r="A489" t="s">
        <v>616</v>
      </c>
      <c r="B489" s="1" t="s">
        <v>615</v>
      </c>
      <c r="C489" s="1" t="s">
        <v>1053</v>
      </c>
      <c r="D489" s="1" t="s">
        <v>1054</v>
      </c>
      <c r="E489" s="9" t="s">
        <v>1315</v>
      </c>
      <c r="F489" s="9"/>
    </row>
    <row r="490" spans="1:6" x14ac:dyDescent="0.3">
      <c r="A490" t="s">
        <v>570</v>
      </c>
      <c r="B490" s="1" t="s">
        <v>569</v>
      </c>
      <c r="C490" s="1" t="s">
        <v>1058</v>
      </c>
      <c r="D490" s="1" t="s">
        <v>1068</v>
      </c>
      <c r="E490" s="9" t="s">
        <v>1292</v>
      </c>
      <c r="F490" s="9"/>
    </row>
    <row r="491" spans="1:6" x14ac:dyDescent="0.3">
      <c r="A491" t="s">
        <v>1012</v>
      </c>
      <c r="B491" s="1" t="s">
        <v>1011</v>
      </c>
      <c r="C491" s="1" t="s">
        <v>1033</v>
      </c>
      <c r="D491" s="1" t="s">
        <v>1039</v>
      </c>
      <c r="E491" s="9" t="s">
        <v>1436</v>
      </c>
      <c r="F491" s="9"/>
    </row>
    <row r="492" spans="1:6" x14ac:dyDescent="0.3">
      <c r="A492" t="s">
        <v>1006</v>
      </c>
      <c r="B492" s="1" t="s">
        <v>1005</v>
      </c>
      <c r="C492" s="1" t="s">
        <v>1033</v>
      </c>
      <c r="D492" s="1" t="s">
        <v>1043</v>
      </c>
      <c r="E492" s="9" t="s">
        <v>1433</v>
      </c>
      <c r="F492" s="9"/>
    </row>
    <row r="493" spans="1:6" x14ac:dyDescent="0.3">
      <c r="A493" t="s">
        <v>1004</v>
      </c>
      <c r="B493" s="1" t="s">
        <v>1003</v>
      </c>
      <c r="C493" s="1" t="s">
        <v>1033</v>
      </c>
      <c r="D493" s="1" t="s">
        <v>1043</v>
      </c>
      <c r="E493" s="9" t="s">
        <v>1432</v>
      </c>
      <c r="F493" s="9"/>
    </row>
    <row r="494" spans="1:6" x14ac:dyDescent="0.3">
      <c r="A494" t="s">
        <v>1018</v>
      </c>
      <c r="B494" s="1" t="s">
        <v>1017</v>
      </c>
      <c r="C494" s="1" t="s">
        <v>1033</v>
      </c>
      <c r="D494" s="1" t="s">
        <v>1039</v>
      </c>
      <c r="E494" s="9" t="s">
        <v>1439</v>
      </c>
      <c r="F494" s="9"/>
    </row>
    <row r="495" spans="1:6" x14ac:dyDescent="0.3">
      <c r="A495" t="s">
        <v>568</v>
      </c>
      <c r="B495" s="1" t="s">
        <v>567</v>
      </c>
      <c r="C495" s="1" t="s">
        <v>1058</v>
      </c>
      <c r="D495" s="1" t="s">
        <v>1068</v>
      </c>
      <c r="E495" s="9" t="s">
        <v>1291</v>
      </c>
      <c r="F495" s="9"/>
    </row>
    <row r="496" spans="1:6" x14ac:dyDescent="0.3">
      <c r="A496" t="s">
        <v>439</v>
      </c>
      <c r="B496" s="1" t="s">
        <v>438</v>
      </c>
      <c r="C496" s="1" t="s">
        <v>1033</v>
      </c>
      <c r="D496" s="1" t="s">
        <v>1028</v>
      </c>
      <c r="E496" s="9" t="s">
        <v>1235</v>
      </c>
      <c r="F496" s="9"/>
    </row>
    <row r="497" spans="1:6" x14ac:dyDescent="0.3">
      <c r="A497" t="s">
        <v>441</v>
      </c>
      <c r="B497" s="1" t="s">
        <v>440</v>
      </c>
      <c r="C497" s="1" t="s">
        <v>1033</v>
      </c>
      <c r="D497" s="1" t="s">
        <v>1028</v>
      </c>
      <c r="E497" s="9" t="s">
        <v>1236</v>
      </c>
      <c r="F497" s="9"/>
    </row>
    <row r="498" spans="1:6" x14ac:dyDescent="0.3">
      <c r="A498" t="s">
        <v>447</v>
      </c>
      <c r="B498" s="1" t="s">
        <v>446</v>
      </c>
      <c r="C498" s="1" t="s">
        <v>1033</v>
      </c>
      <c r="D498" s="1" t="s">
        <v>1028</v>
      </c>
      <c r="E498" s="9" t="s">
        <v>1239</v>
      </c>
      <c r="F498" s="9"/>
    </row>
    <row r="499" spans="1:6" x14ac:dyDescent="0.3">
      <c r="A499" t="s">
        <v>916</v>
      </c>
      <c r="B499" s="1" t="s">
        <v>915</v>
      </c>
      <c r="C499" s="1" t="s">
        <v>1058</v>
      </c>
      <c r="D499" s="1" t="s">
        <v>1065</v>
      </c>
      <c r="E499" s="9" t="s">
        <v>1423</v>
      </c>
      <c r="F499" s="9"/>
    </row>
    <row r="500" spans="1:6" x14ac:dyDescent="0.3">
      <c r="A500" t="s">
        <v>910</v>
      </c>
      <c r="B500" s="1" t="s">
        <v>909</v>
      </c>
      <c r="C500" s="1" t="s">
        <v>1058</v>
      </c>
      <c r="D500" s="1" t="s">
        <v>1065</v>
      </c>
      <c r="E500" s="9" t="s">
        <v>1423</v>
      </c>
      <c r="F500" s="9"/>
    </row>
    <row r="501" spans="1:6" x14ac:dyDescent="0.3">
      <c r="A501" t="s">
        <v>914</v>
      </c>
      <c r="B501" s="1" t="s">
        <v>913</v>
      </c>
      <c r="C501" s="1" t="s">
        <v>1058</v>
      </c>
      <c r="D501" s="1" t="s">
        <v>1065</v>
      </c>
      <c r="E501" s="19" t="s">
        <v>1424</v>
      </c>
      <c r="F501" s="9"/>
    </row>
    <row r="502" spans="1:6" x14ac:dyDescent="0.3">
      <c r="A502" t="s">
        <v>912</v>
      </c>
      <c r="B502" s="1" t="s">
        <v>911</v>
      </c>
      <c r="C502" s="1" t="s">
        <v>1058</v>
      </c>
      <c r="D502" s="1" t="s">
        <v>1065</v>
      </c>
      <c r="E502" s="9" t="s">
        <v>1423</v>
      </c>
      <c r="F502" s="9"/>
    </row>
    <row r="503" spans="1:6" x14ac:dyDescent="0.3">
      <c r="A503" t="s">
        <v>1868</v>
      </c>
      <c r="B503" s="1" t="s">
        <v>889</v>
      </c>
      <c r="C503" s="1" t="s">
        <v>1058</v>
      </c>
      <c r="D503" s="1" t="s">
        <v>1065</v>
      </c>
      <c r="E503" s="9" t="s">
        <v>1423</v>
      </c>
      <c r="F503" s="9"/>
    </row>
    <row r="504" spans="1:6" x14ac:dyDescent="0.3">
      <c r="A504" t="s">
        <v>758</v>
      </c>
      <c r="B504" s="1" t="s">
        <v>757</v>
      </c>
      <c r="C504" s="1" t="s">
        <v>1046</v>
      </c>
      <c r="D504" s="1" t="s">
        <v>1047</v>
      </c>
      <c r="E504" s="9" t="s">
        <v>1370</v>
      </c>
      <c r="F504" s="9"/>
    </row>
    <row r="505" spans="1:6" x14ac:dyDescent="0.3">
      <c r="A505" t="s">
        <v>1022</v>
      </c>
      <c r="B505" s="1" t="s">
        <v>1021</v>
      </c>
      <c r="C505" s="1" t="s">
        <v>1058</v>
      </c>
      <c r="D505" s="1" t="s">
        <v>1061</v>
      </c>
      <c r="E505" s="9" t="s">
        <v>1441</v>
      </c>
      <c r="F505" s="9"/>
    </row>
    <row r="506" spans="1:6" x14ac:dyDescent="0.3">
      <c r="A506" t="s">
        <v>393</v>
      </c>
      <c r="B506" s="1" t="s">
        <v>392</v>
      </c>
      <c r="C506" s="1" t="s">
        <v>1033</v>
      </c>
      <c r="D506" s="1" t="s">
        <v>1034</v>
      </c>
      <c r="E506" s="9" t="s">
        <v>1213</v>
      </c>
      <c r="F506" s="9"/>
    </row>
    <row r="507" spans="1:6" x14ac:dyDescent="0.3">
      <c r="A507" t="s">
        <v>391</v>
      </c>
      <c r="B507" s="1" t="s">
        <v>390</v>
      </c>
      <c r="C507" s="1" t="s">
        <v>1033</v>
      </c>
      <c r="D507" s="1" t="s">
        <v>1034</v>
      </c>
      <c r="E507" s="9" t="s">
        <v>1212</v>
      </c>
      <c r="F507" s="9"/>
    </row>
    <row r="508" spans="1:6" x14ac:dyDescent="0.3">
      <c r="A508" t="s">
        <v>373</v>
      </c>
      <c r="B508" s="1" t="s">
        <v>372</v>
      </c>
      <c r="C508" s="1" t="s">
        <v>1033</v>
      </c>
      <c r="D508" s="1" t="s">
        <v>1034</v>
      </c>
      <c r="E508" s="9" t="s">
        <v>1204</v>
      </c>
      <c r="F508" s="9"/>
    </row>
    <row r="509" spans="1:6" x14ac:dyDescent="0.3">
      <c r="A509" t="s">
        <v>377</v>
      </c>
      <c r="B509" s="1" t="s">
        <v>376</v>
      </c>
      <c r="C509" s="1" t="s">
        <v>1033</v>
      </c>
      <c r="D509" s="1" t="s">
        <v>1034</v>
      </c>
      <c r="E509" s="9" t="s">
        <v>1204</v>
      </c>
      <c r="F509" s="9"/>
    </row>
    <row r="510" spans="1:6" x14ac:dyDescent="0.3">
      <c r="A510" t="s">
        <v>401</v>
      </c>
      <c r="B510" s="1" t="s">
        <v>400</v>
      </c>
      <c r="C510" s="1" t="s">
        <v>1033</v>
      </c>
      <c r="D510" s="1" t="s">
        <v>1034</v>
      </c>
      <c r="E510" s="9" t="s">
        <v>1217</v>
      </c>
      <c r="F510" s="9"/>
    </row>
    <row r="511" spans="1:6" x14ac:dyDescent="0.3">
      <c r="A511" t="s">
        <v>1024</v>
      </c>
      <c r="B511" s="1" t="s">
        <v>1023</v>
      </c>
      <c r="C511" s="1" t="s">
        <v>1058</v>
      </c>
      <c r="D511" s="1" t="s">
        <v>1061</v>
      </c>
      <c r="E511" s="9" t="s">
        <v>1442</v>
      </c>
      <c r="F511" s="9"/>
    </row>
    <row r="512" spans="1:6" x14ac:dyDescent="0.3">
      <c r="A512" t="s">
        <v>1024</v>
      </c>
      <c r="B512" s="1" t="s">
        <v>1443</v>
      </c>
      <c r="C512" s="1" t="s">
        <v>1058</v>
      </c>
      <c r="D512" s="1" t="s">
        <v>1061</v>
      </c>
      <c r="E512" s="9" t="s">
        <v>1442</v>
      </c>
      <c r="F512" s="9"/>
    </row>
    <row r="513" spans="1:6" x14ac:dyDescent="0.3">
      <c r="A513" t="s">
        <v>824</v>
      </c>
      <c r="B513" s="1" t="s">
        <v>823</v>
      </c>
      <c r="C513" s="1" t="s">
        <v>1055</v>
      </c>
      <c r="D513" s="1" t="s">
        <v>1066</v>
      </c>
      <c r="E513" s="9" t="s">
        <v>1402</v>
      </c>
      <c r="F513" s="9"/>
    </row>
    <row r="514" spans="1:6" x14ac:dyDescent="0.3">
      <c r="A514" t="s">
        <v>826</v>
      </c>
      <c r="B514" s="1" t="s">
        <v>825</v>
      </c>
      <c r="C514" s="1" t="s">
        <v>1055</v>
      </c>
      <c r="D514" s="1" t="s">
        <v>1066</v>
      </c>
      <c r="E514" s="9" t="s">
        <v>1403</v>
      </c>
      <c r="F514" s="9"/>
    </row>
    <row r="515" spans="1:6" x14ac:dyDescent="0.3">
      <c r="A515" t="s">
        <v>960</v>
      </c>
      <c r="B515" s="1" t="s">
        <v>959</v>
      </c>
      <c r="C515" s="1" t="s">
        <v>1058</v>
      </c>
      <c r="D515" s="1" t="s">
        <v>1065</v>
      </c>
      <c r="E515" s="9" t="s">
        <v>1423</v>
      </c>
      <c r="F515" s="9"/>
    </row>
    <row r="516" spans="1:6" x14ac:dyDescent="0.3">
      <c r="A516" t="s">
        <v>962</v>
      </c>
      <c r="B516" s="1" t="s">
        <v>961</v>
      </c>
      <c r="C516" s="1" t="s">
        <v>1058</v>
      </c>
      <c r="D516" s="1" t="s">
        <v>1065</v>
      </c>
      <c r="E516" s="9" t="s">
        <v>1423</v>
      </c>
      <c r="F516" s="9"/>
    </row>
    <row r="517" spans="1:6" x14ac:dyDescent="0.3">
      <c r="A517" t="s">
        <v>24</v>
      </c>
      <c r="B517" s="1" t="s">
        <v>1502</v>
      </c>
      <c r="C517" s="1" t="s">
        <v>1058</v>
      </c>
      <c r="D517" s="1" t="s">
        <v>1064</v>
      </c>
      <c r="E517" s="9" t="s">
        <v>1082</v>
      </c>
      <c r="F517" s="9"/>
    </row>
    <row r="518" spans="1:6" x14ac:dyDescent="0.3">
      <c r="A518" t="s">
        <v>25</v>
      </c>
      <c r="B518" s="1" t="s">
        <v>1505</v>
      </c>
      <c r="C518" s="1" t="s">
        <v>1058</v>
      </c>
      <c r="D518" s="1" t="s">
        <v>1064</v>
      </c>
      <c r="E518" s="9" t="s">
        <v>1083</v>
      </c>
      <c r="F518" s="9"/>
    </row>
    <row r="519" spans="1:6" x14ac:dyDescent="0.3">
      <c r="A519" t="s">
        <v>26</v>
      </c>
      <c r="B519" s="1" t="s">
        <v>1508</v>
      </c>
      <c r="C519" s="1" t="s">
        <v>1058</v>
      </c>
      <c r="D519" s="1" t="s">
        <v>1064</v>
      </c>
      <c r="E519" s="9" t="s">
        <v>1084</v>
      </c>
      <c r="F519" s="9"/>
    </row>
    <row r="520" spans="1:6" x14ac:dyDescent="0.3">
      <c r="A520" t="s">
        <v>624</v>
      </c>
      <c r="B520" s="1" t="s">
        <v>623</v>
      </c>
      <c r="C520" s="1" t="s">
        <v>1053</v>
      </c>
      <c r="D520" s="1" t="s">
        <v>1054</v>
      </c>
      <c r="E520" s="9" t="s">
        <v>1317</v>
      </c>
      <c r="F520" s="9"/>
    </row>
    <row r="521" spans="1:6" x14ac:dyDescent="0.3">
      <c r="A521" t="s">
        <v>620</v>
      </c>
      <c r="B521" s="1" t="s">
        <v>619</v>
      </c>
      <c r="C521" s="1" t="s">
        <v>1053</v>
      </c>
      <c r="D521" s="1" t="s">
        <v>1054</v>
      </c>
      <c r="E521" s="9" t="s">
        <v>1317</v>
      </c>
      <c r="F521" s="9"/>
    </row>
    <row r="522" spans="1:6" x14ac:dyDescent="0.3">
      <c r="A522" t="s">
        <v>1020</v>
      </c>
      <c r="B522" s="1" t="s">
        <v>1019</v>
      </c>
      <c r="C522" s="1" t="s">
        <v>1033</v>
      </c>
      <c r="D522" s="1" t="s">
        <v>1039</v>
      </c>
      <c r="E522" s="9" t="s">
        <v>1440</v>
      </c>
    </row>
    <row r="523" spans="1:6" x14ac:dyDescent="0.3">
      <c r="C523" s="1" t="s">
        <v>1865</v>
      </c>
      <c r="D523" s="1"/>
    </row>
    <row r="524" spans="1:6" x14ac:dyDescent="0.3">
      <c r="D524" s="1"/>
    </row>
    <row r="525" spans="1:6" x14ac:dyDescent="0.3">
      <c r="D525" s="1"/>
    </row>
    <row r="526" spans="1:6" x14ac:dyDescent="0.3">
      <c r="D526" s="1"/>
    </row>
    <row r="527" spans="1:6" x14ac:dyDescent="0.3">
      <c r="D527" s="1"/>
    </row>
    <row r="528" spans="1:6" x14ac:dyDescent="0.3">
      <c r="D528" s="1"/>
    </row>
    <row r="529" spans="1:4" x14ac:dyDescent="0.3">
      <c r="A529" t="s">
        <v>1871</v>
      </c>
      <c r="D529" s="1"/>
    </row>
    <row r="530" spans="1:4" x14ac:dyDescent="0.3">
      <c r="A530" t="s">
        <v>1873</v>
      </c>
      <c r="D530" s="1"/>
    </row>
    <row r="531" spans="1:4" x14ac:dyDescent="0.3">
      <c r="A531" t="s">
        <v>1875</v>
      </c>
      <c r="D531" s="1"/>
    </row>
    <row r="532" spans="1:4" x14ac:dyDescent="0.3">
      <c r="A532" t="s">
        <v>1880</v>
      </c>
      <c r="D532" s="1"/>
    </row>
    <row r="533" spans="1:4" x14ac:dyDescent="0.3">
      <c r="A533" t="s">
        <v>1894</v>
      </c>
      <c r="D533" s="1"/>
    </row>
    <row r="534" spans="1:4" x14ac:dyDescent="0.3">
      <c r="A534" t="s">
        <v>1896</v>
      </c>
      <c r="D534" s="1"/>
    </row>
    <row r="535" spans="1:4" x14ac:dyDescent="0.3">
      <c r="A535" t="s">
        <v>1898</v>
      </c>
      <c r="D535" s="1"/>
    </row>
    <row r="536" spans="1:4" x14ac:dyDescent="0.3">
      <c r="A536" t="s">
        <v>1902</v>
      </c>
      <c r="D536" s="1"/>
    </row>
    <row r="537" spans="1:4" x14ac:dyDescent="0.3">
      <c r="A537" t="s">
        <v>1900</v>
      </c>
      <c r="D537" s="1"/>
    </row>
    <row r="538" spans="1:4" x14ac:dyDescent="0.3">
      <c r="A538" t="s">
        <v>1906</v>
      </c>
      <c r="D538" s="1"/>
    </row>
    <row r="539" spans="1:4" x14ac:dyDescent="0.3">
      <c r="A539" t="s">
        <v>1910</v>
      </c>
      <c r="D539" s="1"/>
    </row>
    <row r="540" spans="1:4" x14ac:dyDescent="0.3">
      <c r="A540" t="s">
        <v>1904</v>
      </c>
      <c r="D540" s="1"/>
    </row>
    <row r="541" spans="1:4" x14ac:dyDescent="0.3">
      <c r="A541" t="s">
        <v>1908</v>
      </c>
      <c r="D541" s="1"/>
    </row>
    <row r="542" spans="1:4" x14ac:dyDescent="0.3">
      <c r="A542" t="s">
        <v>443</v>
      </c>
      <c r="D542" s="1"/>
    </row>
    <row r="543" spans="1:4" x14ac:dyDescent="0.3">
      <c r="A543" t="s">
        <v>1912</v>
      </c>
      <c r="D543" s="1"/>
    </row>
    <row r="544" spans="1:4" x14ac:dyDescent="0.3">
      <c r="A544" t="s">
        <v>1914</v>
      </c>
      <c r="D544" s="1"/>
    </row>
    <row r="545" spans="1:4" x14ac:dyDescent="0.3">
      <c r="A545" t="s">
        <v>1921</v>
      </c>
      <c r="D545" s="1"/>
    </row>
    <row r="546" spans="1:4" x14ac:dyDescent="0.3">
      <c r="A546" t="s">
        <v>1916</v>
      </c>
      <c r="D546" s="1"/>
    </row>
    <row r="547" spans="1:4" x14ac:dyDescent="0.3">
      <c r="A547" t="s">
        <v>1918</v>
      </c>
      <c r="D547" s="1"/>
    </row>
    <row r="548" spans="1:4" x14ac:dyDescent="0.3">
      <c r="A548" t="s">
        <v>1923</v>
      </c>
      <c r="D548" s="1"/>
    </row>
    <row r="549" spans="1:4" x14ac:dyDescent="0.3">
      <c r="A549" t="s">
        <v>1926</v>
      </c>
      <c r="D549" s="1"/>
    </row>
    <row r="550" spans="1:4" x14ac:dyDescent="0.3">
      <c r="A550" t="s">
        <v>1928</v>
      </c>
      <c r="D550" s="1"/>
    </row>
    <row r="551" spans="1:4" x14ac:dyDescent="0.3">
      <c r="A551" t="s">
        <v>1930</v>
      </c>
      <c r="D551" s="1"/>
    </row>
    <row r="552" spans="1:4" x14ac:dyDescent="0.3">
      <c r="A552" t="s">
        <v>1932</v>
      </c>
      <c r="D552" s="1"/>
    </row>
    <row r="553" spans="1:4" x14ac:dyDescent="0.3">
      <c r="A553" t="s">
        <v>1934</v>
      </c>
      <c r="D553" s="1"/>
    </row>
    <row r="554" spans="1:4" x14ac:dyDescent="0.3">
      <c r="A554" t="s">
        <v>808</v>
      </c>
      <c r="D554" s="1"/>
    </row>
    <row r="555" spans="1:4" x14ac:dyDescent="0.3">
      <c r="A555" t="s">
        <v>1936</v>
      </c>
      <c r="D555" s="1"/>
    </row>
    <row r="556" spans="1:4" x14ac:dyDescent="0.3">
      <c r="A556" t="s">
        <v>890</v>
      </c>
      <c r="D556" s="1"/>
    </row>
    <row r="557" spans="1:4" x14ac:dyDescent="0.3">
      <c r="A557" t="s">
        <v>1941</v>
      </c>
      <c r="D557" s="1"/>
    </row>
    <row r="558" spans="1:4" x14ac:dyDescent="0.3">
      <c r="A558" t="s">
        <v>1939</v>
      </c>
      <c r="D558" s="1"/>
    </row>
    <row r="559" spans="1:4" x14ac:dyDescent="0.3">
      <c r="D559" s="1"/>
    </row>
    <row r="560" spans="1:4" x14ac:dyDescent="0.3">
      <c r="D560" s="1"/>
    </row>
    <row r="561" spans="4:4" x14ac:dyDescent="0.3">
      <c r="D561" s="1"/>
    </row>
  </sheetData>
  <sortState xmlns:xlrd2="http://schemas.microsoft.com/office/spreadsheetml/2017/richdata2" ref="A2:E561">
    <sortCondition ref="A2:A561"/>
  </sortState>
  <hyperlinks>
    <hyperlink ref="E501" r:id="rId1" xr:uid="{06CDB6B8-0DFF-4FB1-81A4-5757B6898D0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A87D-BA51-4422-9801-6E3473348C67}">
  <dimension ref="A1:G514"/>
  <sheetViews>
    <sheetView workbookViewId="0">
      <selection activeCell="E4" sqref="E4"/>
    </sheetView>
  </sheetViews>
  <sheetFormatPr defaultRowHeight="14.4" x14ac:dyDescent="0.3"/>
  <cols>
    <col min="1" max="1" width="18.44140625" style="12" bestFit="1" customWidth="1"/>
    <col min="2" max="2" width="91.88671875" style="12" bestFit="1" customWidth="1"/>
    <col min="3" max="3" width="5" style="12" bestFit="1" customWidth="1"/>
    <col min="4" max="5" width="10.44140625" style="12" bestFit="1" customWidth="1"/>
    <col min="6" max="6" width="8.88671875" style="12"/>
    <col min="7" max="7" width="16.88671875" style="12" bestFit="1" customWidth="1"/>
    <col min="8" max="16384" width="8.88671875" style="12"/>
  </cols>
  <sheetData>
    <row r="1" spans="1:7" x14ac:dyDescent="0.3">
      <c r="D1" s="14"/>
      <c r="E1" s="14"/>
      <c r="F1" s="14"/>
    </row>
    <row r="2" spans="1:7" x14ac:dyDescent="0.3">
      <c r="D2" s="14"/>
      <c r="E2" s="14"/>
      <c r="F2" s="14"/>
    </row>
    <row r="3" spans="1:7" x14ac:dyDescent="0.3">
      <c r="D3" s="14"/>
      <c r="E3" s="14"/>
      <c r="F3" s="14"/>
    </row>
    <row r="4" spans="1:7" x14ac:dyDescent="0.3">
      <c r="A4" s="13" t="s">
        <v>866</v>
      </c>
      <c r="B4" s="12" t="s">
        <v>865</v>
      </c>
      <c r="C4" s="12">
        <v>30</v>
      </c>
      <c r="D4" s="14">
        <v>23789.52</v>
      </c>
      <c r="E4" s="14">
        <v>20160.560000000001</v>
      </c>
      <c r="F4" s="14"/>
      <c r="G4" s="12" t="str">
        <f>VLOOKUP(TRIM($A4),principal!$G:$G,1,0)</f>
        <v>12A8305</v>
      </c>
    </row>
    <row r="5" spans="1:7" x14ac:dyDescent="0.3">
      <c r="A5" s="13" t="s">
        <v>800</v>
      </c>
      <c r="B5" s="12" t="s">
        <v>799</v>
      </c>
      <c r="C5" s="12">
        <v>360</v>
      </c>
      <c r="D5" s="14">
        <v>92466.995999999999</v>
      </c>
      <c r="E5" s="14">
        <v>78361.856</v>
      </c>
      <c r="F5" s="14"/>
      <c r="G5" s="12" t="str">
        <f>VLOOKUP(TRIM($A5),principal!$G:$G,1,0)</f>
        <v>30960TP</v>
      </c>
    </row>
    <row r="6" spans="1:7" x14ac:dyDescent="0.3">
      <c r="A6" s="13" t="s">
        <v>772</v>
      </c>
      <c r="B6" s="12" t="s">
        <v>771</v>
      </c>
      <c r="C6" s="12">
        <v>720</v>
      </c>
      <c r="D6" s="14">
        <v>31781.223999999998</v>
      </c>
      <c r="E6" s="14">
        <v>26933.335999999999</v>
      </c>
      <c r="F6" s="14"/>
      <c r="G6" s="12" t="str">
        <f>VLOOKUP(TRIM($A6),principal!$G:$G,1,0)</f>
        <v>400840NT</v>
      </c>
    </row>
    <row r="7" spans="1:7" x14ac:dyDescent="0.3">
      <c r="A7" s="13" t="s">
        <v>487</v>
      </c>
      <c r="B7" s="12" t="s">
        <v>486</v>
      </c>
      <c r="C7" s="12">
        <v>360</v>
      </c>
      <c r="D7" s="14">
        <v>100421.848</v>
      </c>
      <c r="E7" s="14">
        <v>85103.255999999994</v>
      </c>
      <c r="F7" s="14"/>
      <c r="G7" s="12" t="str">
        <f>VLOOKUP(TRIM($A7),principal!$G:$G,1,0)</f>
        <v>A520M-APRO</v>
      </c>
    </row>
    <row r="8" spans="1:7" x14ac:dyDescent="0.3">
      <c r="A8" s="13" t="s">
        <v>491</v>
      </c>
      <c r="B8" s="12" t="s">
        <v>490</v>
      </c>
      <c r="C8" s="12">
        <v>1080</v>
      </c>
      <c r="D8" s="14">
        <v>107132.76</v>
      </c>
      <c r="E8" s="14">
        <v>90790.452000000005</v>
      </c>
      <c r="F8" s="14"/>
      <c r="G8" s="12" t="str">
        <f>VLOOKUP(TRIM($A8),principal!$G:$G,1,0)</f>
        <v>A520M-K</v>
      </c>
    </row>
    <row r="9" spans="1:7" x14ac:dyDescent="0.3">
      <c r="A9" s="13" t="s">
        <v>497</v>
      </c>
      <c r="B9" s="12" t="s">
        <v>496</v>
      </c>
      <c r="C9" s="12">
        <v>1080</v>
      </c>
      <c r="D9" s="14">
        <v>161209.296</v>
      </c>
      <c r="E9" s="14">
        <v>136618.06</v>
      </c>
      <c r="F9" s="14"/>
      <c r="G9" s="12" t="str">
        <f>VLOOKUP(TRIM($A9),principal!$G:$G,1,0)</f>
        <v>A620MH</v>
      </c>
    </row>
    <row r="10" spans="1:7" x14ac:dyDescent="0.3">
      <c r="A10" s="13" t="s">
        <v>489</v>
      </c>
      <c r="B10" s="12" t="s">
        <v>488</v>
      </c>
      <c r="C10" s="12">
        <v>1080</v>
      </c>
      <c r="D10" s="14">
        <v>116448.62</v>
      </c>
      <c r="E10" s="14">
        <v>98685.216</v>
      </c>
      <c r="F10" s="14"/>
      <c r="G10" s="12" t="str">
        <f>VLOOKUP(TRIM($A10),principal!$G:$G,1,0)</f>
        <v>AA520M-K</v>
      </c>
    </row>
    <row r="11" spans="1:7" x14ac:dyDescent="0.3">
      <c r="A11" s="13" t="s">
        <v>15</v>
      </c>
      <c r="B11" s="12" t="s">
        <v>14</v>
      </c>
      <c r="C11" s="12">
        <v>15</v>
      </c>
      <c r="D11" s="14">
        <v>29314.952000000001</v>
      </c>
      <c r="E11" s="14">
        <v>24843.279999999999</v>
      </c>
      <c r="F11" s="14"/>
      <c r="G11" s="12" t="str">
        <f>VLOOKUP(TRIM($A11),principal!$G:$G,1,0)</f>
        <v>AC004US</v>
      </c>
    </row>
    <row r="12" spans="1:7" x14ac:dyDescent="0.3">
      <c r="A12" s="13" t="s">
        <v>13</v>
      </c>
      <c r="B12" s="12" t="s">
        <v>12</v>
      </c>
      <c r="C12" s="12">
        <v>15</v>
      </c>
      <c r="D12" s="14">
        <v>15948.036</v>
      </c>
      <c r="E12" s="14">
        <v>13515.212</v>
      </c>
      <c r="F12" s="14"/>
      <c r="G12" s="12" t="str">
        <f>VLOOKUP(TRIM($A12),principal!$G:$G,1,0)</f>
        <v>AC0300N</v>
      </c>
    </row>
    <row r="13" spans="1:7" x14ac:dyDescent="0.3">
      <c r="A13" s="13" t="s">
        <v>83</v>
      </c>
      <c r="B13" s="12" t="s">
        <v>82</v>
      </c>
      <c r="C13" s="12">
        <v>15</v>
      </c>
      <c r="D13" s="14">
        <v>5807.9639999999999</v>
      </c>
      <c r="E13" s="14">
        <v>4922.0360000000001</v>
      </c>
      <c r="F13" s="14"/>
      <c r="G13" s="12" t="str">
        <f>VLOOKUP(TRIM($A13),principal!$G:$G,1,0)</f>
        <v>AC0443</v>
      </c>
    </row>
    <row r="14" spans="1:7" x14ac:dyDescent="0.3">
      <c r="A14" s="13" t="s">
        <v>119</v>
      </c>
      <c r="B14" s="12" t="s">
        <v>118</v>
      </c>
      <c r="C14" s="12">
        <v>15</v>
      </c>
      <c r="D14" s="14">
        <v>13081.128000000001</v>
      </c>
      <c r="E14" s="14">
        <v>11085.791999999999</v>
      </c>
      <c r="F14" s="14"/>
      <c r="G14" s="12" t="str">
        <f>VLOOKUP(TRIM($A14),principal!$G:$G,1,0)</f>
        <v>AC0C</v>
      </c>
    </row>
    <row r="15" spans="1:7" x14ac:dyDescent="0.3">
      <c r="A15" s="13" t="s">
        <v>17</v>
      </c>
      <c r="B15" s="12" t="s">
        <v>16</v>
      </c>
      <c r="C15" s="12">
        <v>15</v>
      </c>
      <c r="D15" s="14">
        <v>9079.06</v>
      </c>
      <c r="E15" s="14">
        <v>7694.076</v>
      </c>
      <c r="F15" s="14"/>
      <c r="G15" s="12" t="str">
        <f>VLOOKUP(TRIM($A15),principal!$G:$G,1,0)</f>
        <v>AC0M200</v>
      </c>
    </row>
    <row r="16" spans="1:7" x14ac:dyDescent="0.3">
      <c r="A16" s="13" t="s">
        <v>55</v>
      </c>
      <c r="B16" s="12" t="s">
        <v>1892</v>
      </c>
      <c r="C16" s="12">
        <v>15</v>
      </c>
      <c r="D16" s="14">
        <v>5359.5240000000003</v>
      </c>
      <c r="E16" s="14">
        <v>4541.9719999999998</v>
      </c>
      <c r="F16" s="14"/>
      <c r="G16" s="12" t="str">
        <f>VLOOKUP(TRIM($A16),principal!$G:$G,1,0)</f>
        <v>AC0P220</v>
      </c>
    </row>
    <row r="17" spans="1:7" x14ac:dyDescent="0.3">
      <c r="A17" s="13" t="s">
        <v>60</v>
      </c>
      <c r="B17" s="12" t="s">
        <v>59</v>
      </c>
      <c r="C17" s="12">
        <v>15</v>
      </c>
      <c r="D17" s="14">
        <v>5175.2640000000001</v>
      </c>
      <c r="E17" s="14">
        <v>4385.8320000000003</v>
      </c>
      <c r="F17" s="14"/>
      <c r="G17" s="12" t="str">
        <f>VLOOKUP(TRIM($A17),principal!$G:$G,1,0)</f>
        <v>AC0SA1</v>
      </c>
    </row>
    <row r="18" spans="1:7" x14ac:dyDescent="0.3">
      <c r="A18" s="13" t="s">
        <v>58</v>
      </c>
      <c r="B18" s="12" t="s">
        <v>57</v>
      </c>
      <c r="C18" s="12">
        <v>15</v>
      </c>
      <c r="D18" s="14">
        <v>2210.9720000000002</v>
      </c>
      <c r="E18" s="14">
        <v>1873.68</v>
      </c>
      <c r="F18" s="14"/>
      <c r="G18" s="12" t="str">
        <f>VLOOKUP(TRIM($A18),principal!$G:$G,1,0)</f>
        <v>AC0SS1</v>
      </c>
    </row>
    <row r="19" spans="1:7" x14ac:dyDescent="0.3">
      <c r="A19" s="13" t="s">
        <v>73</v>
      </c>
      <c r="B19" s="12" t="s">
        <v>72</v>
      </c>
      <c r="C19" s="12">
        <v>15</v>
      </c>
      <c r="D19" s="14">
        <v>6802.2280000000001</v>
      </c>
      <c r="E19" s="14">
        <v>5764.6</v>
      </c>
      <c r="F19" s="14"/>
      <c r="G19" s="12" t="str">
        <f>VLOOKUP(TRIM($A19),principal!$G:$G,1,0)</f>
        <v>AC220TREBOL</v>
      </c>
    </row>
    <row r="20" spans="1:7" x14ac:dyDescent="0.3">
      <c r="A20" s="13" t="s">
        <v>101</v>
      </c>
      <c r="B20" s="12" t="s">
        <v>100</v>
      </c>
      <c r="C20" s="12">
        <v>15</v>
      </c>
      <c r="D20" s="14">
        <v>42343.243999999999</v>
      </c>
      <c r="E20" s="14">
        <v>35884.228000000003</v>
      </c>
      <c r="F20" s="14"/>
      <c r="G20" s="12" t="str">
        <f>VLOOKUP(TRIM($A20),principal!$G:$G,1,0)</f>
        <v>ACER19V158M</v>
      </c>
    </row>
    <row r="21" spans="1:7" x14ac:dyDescent="0.3">
      <c r="A21" s="13" t="s">
        <v>97</v>
      </c>
      <c r="B21" s="12" t="s">
        <v>96</v>
      </c>
      <c r="C21" s="12">
        <v>15</v>
      </c>
      <c r="D21" s="14">
        <v>42343.243999999999</v>
      </c>
      <c r="E21" s="14">
        <v>35884.228000000003</v>
      </c>
      <c r="F21" s="14"/>
      <c r="G21" s="12" t="str">
        <f>VLOOKUP(TRIM($A21),principal!$G:$G,1,0)</f>
        <v>ACER19V342A</v>
      </c>
    </row>
    <row r="22" spans="1:7" x14ac:dyDescent="0.3">
      <c r="A22" s="13" t="s">
        <v>99</v>
      </c>
      <c r="B22" s="12" t="s">
        <v>98</v>
      </c>
      <c r="C22" s="12">
        <v>15</v>
      </c>
      <c r="D22" s="14">
        <v>47278.748</v>
      </c>
      <c r="E22" s="14">
        <v>40066.707999999999</v>
      </c>
      <c r="F22" s="14"/>
      <c r="G22" s="12" t="str">
        <f>VLOOKUP(TRIM($A22),principal!$G:$G,1,0)</f>
        <v>ACER19V3AMA</v>
      </c>
    </row>
    <row r="23" spans="1:7" x14ac:dyDescent="0.3">
      <c r="A23" s="13" t="s">
        <v>62</v>
      </c>
      <c r="B23" s="12" t="s">
        <v>61</v>
      </c>
      <c r="C23" s="12">
        <v>0</v>
      </c>
      <c r="D23" s="14">
        <v>2563.9520000000002</v>
      </c>
      <c r="E23" s="14">
        <v>2172.788</v>
      </c>
      <c r="F23" s="14"/>
      <c r="G23" s="12" t="str">
        <f>VLOOKUP(TRIM($A23),principal!$G:$G,1,0)</f>
        <v>ACHDMI14</v>
      </c>
    </row>
    <row r="24" spans="1:7" x14ac:dyDescent="0.3">
      <c r="A24" s="13" t="s">
        <v>64</v>
      </c>
      <c r="B24" s="12" t="s">
        <v>63</v>
      </c>
      <c r="C24" s="12">
        <v>0</v>
      </c>
      <c r="D24" s="14">
        <v>3296.404</v>
      </c>
      <c r="E24" s="14">
        <v>2793.6480000000001</v>
      </c>
      <c r="F24" s="14"/>
      <c r="G24" s="12" t="str">
        <f>VLOOKUP(TRIM($A24),principal!$G:$G,1,0)</f>
        <v>ACHDMI154K</v>
      </c>
    </row>
    <row r="25" spans="1:7" x14ac:dyDescent="0.3">
      <c r="A25" s="13" t="s">
        <v>66</v>
      </c>
      <c r="B25" s="12" t="s">
        <v>65</v>
      </c>
      <c r="C25" s="12">
        <v>15</v>
      </c>
      <c r="D25" s="14">
        <v>5180.1480000000001</v>
      </c>
      <c r="E25" s="14">
        <v>4389.9759999999997</v>
      </c>
      <c r="F25" s="14"/>
      <c r="G25" s="12" t="str">
        <f>VLOOKUP(TRIM($A25),principal!$G:$G,1,0)</f>
        <v>ACHDMI3F</v>
      </c>
    </row>
    <row r="26" spans="1:7" x14ac:dyDescent="0.3">
      <c r="A26" s="13" t="s">
        <v>68</v>
      </c>
      <c r="B26" s="12" t="s">
        <v>67</v>
      </c>
      <c r="C26" s="12">
        <v>15</v>
      </c>
      <c r="D26" s="14">
        <v>6409.732</v>
      </c>
      <c r="E26" s="14">
        <v>5432.0439999999999</v>
      </c>
      <c r="F26" s="14"/>
      <c r="G26" s="12" t="str">
        <f>VLOOKUP(TRIM($A26),principal!$G:$G,1,0)</f>
        <v>ACHDMI5F</v>
      </c>
    </row>
    <row r="27" spans="1:7" x14ac:dyDescent="0.3">
      <c r="A27" s="13" t="s">
        <v>81</v>
      </c>
      <c r="B27" s="12" t="s">
        <v>80</v>
      </c>
      <c r="C27" s="12">
        <v>15</v>
      </c>
      <c r="D27" s="14">
        <v>6540.5640000000003</v>
      </c>
      <c r="E27" s="14">
        <v>5542.8959999999997</v>
      </c>
      <c r="F27" s="14"/>
      <c r="G27" s="12" t="str">
        <f>VLOOKUP(TRIM($A27),principal!$G:$G,1,0)</f>
        <v>ACVGA1FB</v>
      </c>
    </row>
    <row r="28" spans="1:7" x14ac:dyDescent="0.3">
      <c r="A28" s="13" t="s">
        <v>75</v>
      </c>
      <c r="B28" s="12" t="s">
        <v>74</v>
      </c>
      <c r="C28" s="12">
        <v>15</v>
      </c>
      <c r="D28" s="14">
        <v>490.76799999999997</v>
      </c>
      <c r="E28" s="14">
        <v>415.88</v>
      </c>
      <c r="F28" s="14"/>
      <c r="G28" s="12" t="str">
        <f>VLOOKUP(TRIM($A28),principal!$G:$G,1,0)</f>
        <v>AF0443</v>
      </c>
    </row>
    <row r="29" spans="1:7" x14ac:dyDescent="0.3">
      <c r="A29" s="13" t="s">
        <v>77</v>
      </c>
      <c r="B29" s="12" t="s">
        <v>76</v>
      </c>
      <c r="C29" s="12">
        <v>15</v>
      </c>
      <c r="D29" s="14">
        <v>623.96799999999996</v>
      </c>
      <c r="E29" s="14">
        <v>528.80399999999997</v>
      </c>
      <c r="F29" s="14"/>
      <c r="G29" s="12" t="str">
        <f>VLOOKUP(TRIM($A29),principal!$G:$G,1,0)</f>
        <v>AF0443EXUV</v>
      </c>
    </row>
    <row r="30" spans="1:7" x14ac:dyDescent="0.3">
      <c r="A30" s="13" t="s">
        <v>283</v>
      </c>
      <c r="B30" s="12" t="s">
        <v>282</v>
      </c>
      <c r="C30" s="12">
        <v>15</v>
      </c>
      <c r="D30" s="14">
        <v>39185.811999999998</v>
      </c>
      <c r="E30" s="14">
        <v>33208.387999999999</v>
      </c>
      <c r="F30" s="14"/>
      <c r="G30" s="12" t="str">
        <f>VLOOKUP(TRIM($A30),principal!$G:$G,1,0)</f>
        <v>AF04RCAT6</v>
      </c>
    </row>
    <row r="31" spans="1:7" x14ac:dyDescent="0.3">
      <c r="A31" s="13" t="s">
        <v>279</v>
      </c>
      <c r="B31" s="12" t="s">
        <v>278</v>
      </c>
      <c r="C31" s="12">
        <v>15</v>
      </c>
      <c r="D31" s="14">
        <v>323.97199999999998</v>
      </c>
      <c r="E31" s="14">
        <v>274.54000000000002</v>
      </c>
      <c r="F31" s="14"/>
      <c r="G31" s="12" t="str">
        <f>VLOOKUP(TRIM($A31),principal!$G:$G,1,0)</f>
        <v>AF04RJK</v>
      </c>
    </row>
    <row r="32" spans="1:7" x14ac:dyDescent="0.3">
      <c r="A32" s="13" t="s">
        <v>281</v>
      </c>
      <c r="B32" s="12" t="s">
        <v>280</v>
      </c>
      <c r="C32" s="12">
        <v>15</v>
      </c>
      <c r="D32" s="14">
        <v>13081.128000000001</v>
      </c>
      <c r="E32" s="14">
        <v>11085.791999999999</v>
      </c>
      <c r="F32" s="14"/>
      <c r="G32" s="12" t="str">
        <f>VLOOKUP(TRIM($A32),principal!$G:$G,1,0)</f>
        <v>AF04RJX100</v>
      </c>
    </row>
    <row r="33" spans="1:7" x14ac:dyDescent="0.3">
      <c r="A33" s="13" t="s">
        <v>33</v>
      </c>
      <c r="B33" s="12" t="s">
        <v>1888</v>
      </c>
      <c r="C33" s="12">
        <v>15</v>
      </c>
      <c r="D33" s="14">
        <v>112221.296</v>
      </c>
      <c r="E33" s="14">
        <v>95102.728000000003</v>
      </c>
      <c r="F33" s="14"/>
      <c r="G33" s="12" t="str">
        <f>VLOOKUP(TRIM($A33),principal!$G:$G,1,0)</f>
        <v>AF1443NC</v>
      </c>
    </row>
    <row r="34" spans="1:7" x14ac:dyDescent="0.3">
      <c r="A34" s="13" t="s">
        <v>37</v>
      </c>
      <c r="B34" s="12" t="s">
        <v>36</v>
      </c>
      <c r="C34" s="12">
        <v>15</v>
      </c>
      <c r="D34" s="14">
        <v>151137.89600000001</v>
      </c>
      <c r="E34" s="14">
        <v>128082.9</v>
      </c>
      <c r="F34" s="14"/>
      <c r="G34" s="12" t="str">
        <f>VLOOKUP(TRIM($A34),principal!$G:$G,1,0)</f>
        <v>AFEXTERIOR</v>
      </c>
    </row>
    <row r="35" spans="1:7" x14ac:dyDescent="0.3">
      <c r="A35" s="13" t="s">
        <v>285</v>
      </c>
      <c r="B35" s="12" t="s">
        <v>284</v>
      </c>
      <c r="C35" s="12">
        <v>720</v>
      </c>
      <c r="D35" s="14">
        <v>77518.7</v>
      </c>
      <c r="E35" s="14">
        <v>65693.796000000002</v>
      </c>
      <c r="F35" s="14"/>
      <c r="G35" s="12" t="str">
        <f>VLOOKUP(TRIM($A35),principal!$G:$G,1,0)</f>
        <v>AM4-3000G</v>
      </c>
    </row>
    <row r="36" spans="1:7" x14ac:dyDescent="0.3">
      <c r="A36" s="13" t="s">
        <v>41</v>
      </c>
      <c r="B36" s="12" t="s">
        <v>40</v>
      </c>
      <c r="C36" s="12">
        <v>15</v>
      </c>
      <c r="D36" s="14">
        <v>3060.3440000000001</v>
      </c>
      <c r="E36" s="14">
        <v>2593.5520000000001</v>
      </c>
      <c r="F36" s="14"/>
      <c r="G36" s="12" t="str">
        <f>VLOOKUP(TRIM($A36),principal!$G:$G,1,0)</f>
        <v>AMINICEL5</v>
      </c>
    </row>
    <row r="37" spans="1:7" x14ac:dyDescent="0.3">
      <c r="A37" s="13" t="s">
        <v>43</v>
      </c>
      <c r="B37" s="12" t="s">
        <v>42</v>
      </c>
      <c r="C37" s="12">
        <v>15</v>
      </c>
      <c r="D37" s="14">
        <v>5860.3559999999998</v>
      </c>
      <c r="E37" s="14">
        <v>4966.4359999999997</v>
      </c>
      <c r="F37" s="14"/>
      <c r="G37" s="12" t="str">
        <f>VLOOKUP(TRIM($A37),principal!$G:$G,1,0)</f>
        <v>AMINTYPEC</v>
      </c>
    </row>
    <row r="38" spans="1:7" x14ac:dyDescent="0.3">
      <c r="A38" s="13" t="s">
        <v>780</v>
      </c>
      <c r="B38" s="12" t="s">
        <v>779</v>
      </c>
      <c r="C38" s="12">
        <v>720</v>
      </c>
      <c r="D38" s="14">
        <v>68978.508000000002</v>
      </c>
      <c r="E38" s="14">
        <v>58456.3</v>
      </c>
      <c r="F38" s="14"/>
      <c r="G38" s="12" t="str">
        <f>VLOOKUP(TRIM($A38),principal!$G:$G,1,0)</f>
        <v>ARCHERC86</v>
      </c>
    </row>
    <row r="39" spans="1:7" x14ac:dyDescent="0.3">
      <c r="A39" s="13" t="s">
        <v>445</v>
      </c>
      <c r="B39" s="12" t="s">
        <v>444</v>
      </c>
      <c r="C39" s="12">
        <v>180</v>
      </c>
      <c r="D39" s="14">
        <v>95487.823999999993</v>
      </c>
      <c r="E39" s="14">
        <v>80921.960000000006</v>
      </c>
      <c r="F39" s="14"/>
      <c r="G39" s="12" t="str">
        <f>VLOOKUP(TRIM($A39),principal!$G:$G,1,0)</f>
        <v>ARX300G</v>
      </c>
    </row>
    <row r="40" spans="1:7" x14ac:dyDescent="0.3">
      <c r="A40" s="13" t="s">
        <v>423</v>
      </c>
      <c r="B40" s="12" t="s">
        <v>422</v>
      </c>
      <c r="C40" s="12">
        <v>360</v>
      </c>
      <c r="D40" s="14">
        <v>73309.432000000001</v>
      </c>
      <c r="E40" s="14">
        <v>62126.7</v>
      </c>
      <c r="F40" s="14"/>
      <c r="G40" s="12" t="str">
        <f>VLOOKUP(TRIM($A40),principal!$G:$G,1,0)</f>
        <v>ARXGP500</v>
      </c>
    </row>
    <row r="41" spans="1:7" x14ac:dyDescent="0.3">
      <c r="A41" s="13" t="s">
        <v>91</v>
      </c>
      <c r="B41" s="12" t="s">
        <v>90</v>
      </c>
      <c r="C41" s="12">
        <v>15</v>
      </c>
      <c r="D41" s="14">
        <v>39410.476000000002</v>
      </c>
      <c r="E41" s="14">
        <v>33398.716</v>
      </c>
      <c r="F41" s="14"/>
      <c r="G41" s="12" t="str">
        <f>VLOOKUP(TRIM($A41),principal!$G:$G,1,0)</f>
        <v>ASUS12V37</v>
      </c>
    </row>
    <row r="42" spans="1:7" x14ac:dyDescent="0.3">
      <c r="A42" s="13" t="s">
        <v>425</v>
      </c>
      <c r="B42" s="12" t="s">
        <v>424</v>
      </c>
      <c r="C42" s="12">
        <v>720</v>
      </c>
      <c r="D42" s="14">
        <v>83598.539999999994</v>
      </c>
      <c r="E42" s="14">
        <v>70846.267999999996</v>
      </c>
      <c r="F42" s="14"/>
      <c r="G42" s="12" t="str">
        <f>VLOOKUP(TRIM($A42),principal!$G:$G,1,0)</f>
        <v>AUREOX600</v>
      </c>
    </row>
    <row r="43" spans="1:7" x14ac:dyDescent="0.3">
      <c r="A43" s="13" t="s">
        <v>427</v>
      </c>
      <c r="B43" s="12" t="s">
        <v>426</v>
      </c>
      <c r="C43" s="12">
        <v>360</v>
      </c>
      <c r="D43" s="14">
        <v>99032.127999999997</v>
      </c>
      <c r="E43" s="14">
        <v>83925.471999999994</v>
      </c>
      <c r="F43" s="14"/>
      <c r="G43" s="12" t="str">
        <f>VLOOKUP(TRIM($A43),principal!$G:$G,1,0)</f>
        <v>AUREOX650B</v>
      </c>
    </row>
    <row r="44" spans="1:7" x14ac:dyDescent="0.3">
      <c r="A44" s="13" t="s">
        <v>626</v>
      </c>
      <c r="B44" s="12" t="s">
        <v>625</v>
      </c>
      <c r="C44" s="12">
        <v>720</v>
      </c>
      <c r="D44" s="14">
        <v>736326.93599999999</v>
      </c>
      <c r="E44" s="14">
        <v>657434.79599999997</v>
      </c>
      <c r="F44" s="14"/>
      <c r="G44" s="12" t="str">
        <f>VLOOKUP(TRIM($A44),principal!$G:$G,1,0)</f>
        <v>BANGHOM5I3</v>
      </c>
    </row>
    <row r="45" spans="1:7" x14ac:dyDescent="0.3">
      <c r="A45" s="13" t="s">
        <v>31</v>
      </c>
      <c r="B45" s="12" t="s">
        <v>30</v>
      </c>
      <c r="C45" s="12">
        <v>30</v>
      </c>
      <c r="D45" s="14">
        <v>47020.932000000001</v>
      </c>
      <c r="E45" s="14">
        <v>39848.26</v>
      </c>
      <c r="F45" s="14"/>
      <c r="G45" s="12" t="str">
        <f>VLOOKUP(TRIM($A45),principal!$G:$G,1,0)</f>
        <v>BASEKUZO</v>
      </c>
    </row>
    <row r="46" spans="1:7" x14ac:dyDescent="0.3">
      <c r="A46" s="13" t="s">
        <v>32</v>
      </c>
      <c r="B46" s="12" t="s">
        <v>1887</v>
      </c>
      <c r="C46" s="12">
        <v>30</v>
      </c>
      <c r="D46" s="14">
        <v>57464.404000000002</v>
      </c>
      <c r="E46" s="14">
        <v>48698.66</v>
      </c>
      <c r="F46" s="14"/>
      <c r="G46" s="12" t="str">
        <f>VLOOKUP(TRIM($A46),principal!$G:$G,1,0)</f>
        <v>BASESTAND</v>
      </c>
    </row>
    <row r="47" spans="1:7" x14ac:dyDescent="0.3">
      <c r="A47" s="13" t="s">
        <v>662</v>
      </c>
      <c r="B47" s="12" t="s">
        <v>661</v>
      </c>
      <c r="C47" s="12">
        <v>15</v>
      </c>
      <c r="D47" s="14">
        <v>14964.871999999999</v>
      </c>
      <c r="E47" s="14">
        <v>12682.12</v>
      </c>
      <c r="F47" s="14"/>
      <c r="G47" s="12" t="str">
        <f>VLOOKUP(TRIM($A47),principal!$G:$G,1,0)</f>
        <v>BIGFOOT</v>
      </c>
    </row>
    <row r="48" spans="1:7" x14ac:dyDescent="0.3">
      <c r="A48" s="13" t="s">
        <v>449</v>
      </c>
      <c r="B48" s="12" t="s">
        <v>448</v>
      </c>
      <c r="C48" s="12">
        <v>180</v>
      </c>
      <c r="D48" s="14">
        <v>79084.687999999995</v>
      </c>
      <c r="E48" s="14">
        <v>67020.911999999997</v>
      </c>
      <c r="F48" s="14"/>
      <c r="G48" s="12" t="str">
        <f>VLOOKUP(TRIM($A48),principal!$G:$G,1,0)</f>
        <v>BLAZERGB</v>
      </c>
    </row>
    <row r="49" spans="1:7" x14ac:dyDescent="0.3">
      <c r="A49" s="13" t="s">
        <v>171</v>
      </c>
      <c r="B49" s="12" t="s">
        <v>170</v>
      </c>
      <c r="C49" s="12">
        <v>0</v>
      </c>
      <c r="D49" s="14">
        <v>5117.1000000000004</v>
      </c>
      <c r="E49" s="14">
        <v>4336.5479999999998</v>
      </c>
      <c r="F49" s="14"/>
      <c r="G49" s="12" t="str">
        <f>VLOOKUP(TRIM($A49),principal!$G:$G,1,0)</f>
        <v>BT5001BKAL</v>
      </c>
    </row>
    <row r="50" spans="1:7" x14ac:dyDescent="0.3">
      <c r="A50" s="13" t="s">
        <v>173</v>
      </c>
      <c r="B50" s="12" t="s">
        <v>172</v>
      </c>
      <c r="C50" s="12">
        <v>0</v>
      </c>
      <c r="D50" s="14">
        <v>5101.7079999999996</v>
      </c>
      <c r="E50" s="14">
        <v>4323.3760000000002</v>
      </c>
      <c r="F50" s="14"/>
      <c r="G50" s="12" t="str">
        <f>VLOOKUP(TRIM($A50),principal!$G:$G,1,0)</f>
        <v>BT5001C</v>
      </c>
    </row>
    <row r="51" spans="1:7" x14ac:dyDescent="0.3">
      <c r="A51" s="13" t="s">
        <v>175</v>
      </c>
      <c r="B51" s="12" t="s">
        <v>174</v>
      </c>
      <c r="C51" s="12">
        <v>0</v>
      </c>
      <c r="D51" s="14">
        <v>5101.7079999999996</v>
      </c>
      <c r="E51" s="14">
        <v>4323.3760000000002</v>
      </c>
      <c r="F51" s="14"/>
      <c r="G51" s="12" t="str">
        <f>VLOOKUP(TRIM($A51),principal!$G:$G,1,0)</f>
        <v>BT5001M</v>
      </c>
    </row>
    <row r="52" spans="1:7" x14ac:dyDescent="0.3">
      <c r="A52" s="13" t="s">
        <v>177</v>
      </c>
      <c r="B52" s="12" t="s">
        <v>176</v>
      </c>
      <c r="C52" s="12">
        <v>0</v>
      </c>
      <c r="D52" s="14">
        <v>5101.7079999999996</v>
      </c>
      <c r="E52" s="14">
        <v>4323.3760000000002</v>
      </c>
      <c r="F52" s="14"/>
      <c r="G52" s="12" t="str">
        <f>VLOOKUP(TRIM($A52),principal!$G:$G,1,0)</f>
        <v>BT5001Y</v>
      </c>
    </row>
    <row r="53" spans="1:7" x14ac:dyDescent="0.3">
      <c r="A53" s="13" t="s">
        <v>327</v>
      </c>
      <c r="B53" s="12" t="s">
        <v>326</v>
      </c>
      <c r="C53" s="12">
        <v>1060</v>
      </c>
      <c r="D53" s="14">
        <v>222627.372</v>
      </c>
      <c r="E53" s="14">
        <v>188667.29199999999</v>
      </c>
      <c r="F53" s="14"/>
      <c r="G53" s="12" t="str">
        <f>VLOOKUP(TRIM($A53),principal!$G:$G,1,0)</f>
        <v>BX8070110105</v>
      </c>
    </row>
    <row r="54" spans="1:7" x14ac:dyDescent="0.3">
      <c r="A54" s="13" t="s">
        <v>335</v>
      </c>
      <c r="B54" s="12" t="s">
        <v>334</v>
      </c>
      <c r="C54" s="12">
        <v>1060</v>
      </c>
      <c r="D54" s="14">
        <v>267831.75199999998</v>
      </c>
      <c r="E54" s="14">
        <v>226976.05600000001</v>
      </c>
      <c r="F54" s="14"/>
      <c r="G54" s="12" t="str">
        <f>VLOOKUP(TRIM($A54),principal!$G:$G,1,0)</f>
        <v>BX8070110400</v>
      </c>
    </row>
    <row r="55" spans="1:7" x14ac:dyDescent="0.3">
      <c r="A55" s="13" t="s">
        <v>333</v>
      </c>
      <c r="B55" s="12" t="s">
        <v>332</v>
      </c>
      <c r="C55" s="12">
        <v>1060</v>
      </c>
      <c r="D55" s="14">
        <v>253462.432</v>
      </c>
      <c r="E55" s="14">
        <v>214798.764</v>
      </c>
      <c r="F55" s="14"/>
      <c r="G55" s="12" t="str">
        <f>VLOOKUP(TRIM($A55),principal!$G:$G,1,0)</f>
        <v>BX8070110400F</v>
      </c>
    </row>
    <row r="56" spans="1:7" x14ac:dyDescent="0.3">
      <c r="A56" s="13" t="s">
        <v>321</v>
      </c>
      <c r="B56" s="12" t="s">
        <v>320</v>
      </c>
      <c r="C56" s="12">
        <v>720</v>
      </c>
      <c r="D56" s="14">
        <v>166782.53200000001</v>
      </c>
      <c r="E56" s="14">
        <v>141341.18400000001</v>
      </c>
      <c r="F56" s="14"/>
      <c r="G56" s="12" t="str">
        <f>VLOOKUP(TRIM($A56),principal!$G:$G,1,0)</f>
        <v>BX80701G6405</v>
      </c>
    </row>
    <row r="57" spans="1:7" x14ac:dyDescent="0.3">
      <c r="A57" s="13" t="s">
        <v>329</v>
      </c>
      <c r="B57" s="12" t="s">
        <v>328</v>
      </c>
      <c r="C57" s="12">
        <v>1060</v>
      </c>
      <c r="D57" s="14">
        <v>273996.69199999998</v>
      </c>
      <c r="E57" s="14">
        <v>232200.60399999999</v>
      </c>
      <c r="F57" s="14"/>
      <c r="G57" s="12" t="str">
        <f>VLOOKUP(TRIM($A57),principal!$G:$G,1,0)</f>
        <v>BX8071512100</v>
      </c>
    </row>
    <row r="58" spans="1:7" x14ac:dyDescent="0.3">
      <c r="A58" s="13" t="s">
        <v>325</v>
      </c>
      <c r="B58" s="12" t="s">
        <v>324</v>
      </c>
      <c r="C58" s="12">
        <v>1060</v>
      </c>
      <c r="D58" s="14">
        <v>186626.81599999999</v>
      </c>
      <c r="E58" s="14">
        <v>158158.27600000001</v>
      </c>
      <c r="F58" s="14"/>
      <c r="G58" s="12" t="str">
        <f>VLOOKUP(TRIM($A58),principal!$G:$G,1,0)</f>
        <v>BX8071512100F</v>
      </c>
    </row>
    <row r="59" spans="1:7" x14ac:dyDescent="0.3">
      <c r="A59" s="13" t="s">
        <v>339</v>
      </c>
      <c r="B59" s="12" t="s">
        <v>338</v>
      </c>
      <c r="C59" s="12">
        <v>1060</v>
      </c>
      <c r="D59" s="14">
        <v>350054.484</v>
      </c>
      <c r="E59" s="14">
        <v>296656.38</v>
      </c>
      <c r="F59" s="14"/>
      <c r="G59" s="12" t="str">
        <f>VLOOKUP(TRIM($A59),principal!$G:$G,1,0)</f>
        <v>BX8071512400</v>
      </c>
    </row>
    <row r="60" spans="1:7" x14ac:dyDescent="0.3">
      <c r="A60" s="13" t="s">
        <v>337</v>
      </c>
      <c r="B60" s="12" t="s">
        <v>336</v>
      </c>
      <c r="C60" s="12">
        <v>1060</v>
      </c>
      <c r="D60" s="14">
        <v>258395.42</v>
      </c>
      <c r="E60" s="14">
        <v>218979.17199999999</v>
      </c>
      <c r="F60" s="14"/>
      <c r="G60" s="12" t="str">
        <f>VLOOKUP(TRIM($A60),principal!$G:$G,1,0)</f>
        <v>BX8071512400F</v>
      </c>
    </row>
    <row r="61" spans="1:7" x14ac:dyDescent="0.3">
      <c r="A61" s="13" t="s">
        <v>343</v>
      </c>
      <c r="B61" s="12" t="s">
        <v>342</v>
      </c>
      <c r="C61" s="12">
        <v>1060</v>
      </c>
      <c r="D61" s="14">
        <v>671828.24</v>
      </c>
      <c r="E61" s="14">
        <v>569345.93599999999</v>
      </c>
      <c r="F61" s="14"/>
      <c r="G61" s="12" t="str">
        <f>VLOOKUP(TRIM($A61),principal!$G:$G,1,0)</f>
        <v>BX8071512700</v>
      </c>
    </row>
    <row r="62" spans="1:7" x14ac:dyDescent="0.3">
      <c r="A62" s="13" t="s">
        <v>341</v>
      </c>
      <c r="B62" s="12" t="s">
        <v>340</v>
      </c>
      <c r="C62" s="12">
        <v>1060</v>
      </c>
      <c r="D62" s="14">
        <v>605115.16799999995</v>
      </c>
      <c r="E62" s="14">
        <v>512809.49200000003</v>
      </c>
      <c r="F62" s="14"/>
      <c r="G62" s="12" t="str">
        <f>VLOOKUP(TRIM($A62),principal!$G:$G,1,0)</f>
        <v>BX8071512700F</v>
      </c>
    </row>
    <row r="63" spans="1:7" x14ac:dyDescent="0.3">
      <c r="A63" s="13" t="s">
        <v>345</v>
      </c>
      <c r="B63" s="12" t="s">
        <v>344</v>
      </c>
      <c r="C63" s="12">
        <v>1060</v>
      </c>
      <c r="D63" s="14">
        <v>688593.97600000002</v>
      </c>
      <c r="E63" s="14">
        <v>583554.23199999996</v>
      </c>
      <c r="F63" s="14"/>
      <c r="G63" s="12" t="str">
        <f>VLOOKUP(TRIM($A63),principal!$G:$G,1,0)</f>
        <v>BX8071512700K</v>
      </c>
    </row>
    <row r="64" spans="1:7" x14ac:dyDescent="0.3">
      <c r="A64" s="13" t="s">
        <v>353</v>
      </c>
      <c r="B64" s="12" t="s">
        <v>352</v>
      </c>
      <c r="C64" s="12">
        <v>1060</v>
      </c>
      <c r="D64" s="14">
        <v>868227.2</v>
      </c>
      <c r="E64" s="14">
        <v>735785.7</v>
      </c>
      <c r="F64" s="14"/>
      <c r="G64" s="12" t="str">
        <f>VLOOKUP(TRIM($A64),principal!$G:$G,1,0)</f>
        <v>BX8071512900KF</v>
      </c>
    </row>
    <row r="65" spans="1:7" x14ac:dyDescent="0.3">
      <c r="A65" s="13" t="s">
        <v>331</v>
      </c>
      <c r="B65" s="12" t="s">
        <v>330</v>
      </c>
      <c r="C65" s="12">
        <v>1060</v>
      </c>
      <c r="D65" s="14">
        <v>287628.08399999997</v>
      </c>
      <c r="E65" s="14">
        <v>243752.59599999999</v>
      </c>
      <c r="F65" s="14"/>
      <c r="G65" s="12" t="str">
        <f>VLOOKUP(TRIM($A65),principal!$G:$G,1,0)</f>
        <v>BX8071514100</v>
      </c>
    </row>
    <row r="66" spans="1:7" x14ac:dyDescent="0.3">
      <c r="A66" s="13" t="s">
        <v>349</v>
      </c>
      <c r="B66" s="12" t="s">
        <v>348</v>
      </c>
      <c r="C66" s="12">
        <v>1060</v>
      </c>
      <c r="D66" s="14">
        <v>419215.03200000001</v>
      </c>
      <c r="E66" s="14">
        <v>355266.89600000001</v>
      </c>
      <c r="F66" s="14"/>
      <c r="G66" s="12" t="str">
        <f>VLOOKUP(TRIM($A66),principal!$G:$G,1,0)</f>
        <v>BX8071514400</v>
      </c>
    </row>
    <row r="67" spans="1:7" x14ac:dyDescent="0.3">
      <c r="A67" s="13" t="s">
        <v>347</v>
      </c>
      <c r="B67" s="12" t="s">
        <v>346</v>
      </c>
      <c r="C67" s="12">
        <v>1060</v>
      </c>
      <c r="D67" s="14">
        <v>340612.23200000002</v>
      </c>
      <c r="E67" s="14">
        <v>288654.46399999998</v>
      </c>
      <c r="F67" s="14"/>
      <c r="G67" s="12" t="str">
        <f>VLOOKUP(TRIM($A67),principal!$G:$G,1,0)</f>
        <v>BX8071514400F</v>
      </c>
    </row>
    <row r="68" spans="1:7" x14ac:dyDescent="0.3">
      <c r="A68" s="13" t="s">
        <v>351</v>
      </c>
      <c r="B68" s="12" t="s">
        <v>350</v>
      </c>
      <c r="C68" s="12">
        <v>1060</v>
      </c>
      <c r="D68" s="14">
        <v>786931.68799999997</v>
      </c>
      <c r="E68" s="14">
        <v>666891.25600000005</v>
      </c>
      <c r="F68" s="14"/>
      <c r="G68" s="12" t="str">
        <f>VLOOKUP(TRIM($A68),principal!$G:$G,1,0)</f>
        <v>BX8071514700</v>
      </c>
    </row>
    <row r="69" spans="1:7" x14ac:dyDescent="0.3">
      <c r="A69" s="13" t="s">
        <v>355</v>
      </c>
      <c r="B69" s="12" t="s">
        <v>354</v>
      </c>
      <c r="C69" s="12">
        <v>1060</v>
      </c>
      <c r="D69" s="14">
        <v>1112560.696</v>
      </c>
      <c r="E69" s="14">
        <v>942848.06</v>
      </c>
      <c r="F69" s="14"/>
      <c r="G69" s="12" t="str">
        <f>VLOOKUP(TRIM($A69),principal!$G:$G,1,0)</f>
        <v>BX8071514900F</v>
      </c>
    </row>
    <row r="70" spans="1:7" x14ac:dyDescent="0.3">
      <c r="A70" s="13" t="s">
        <v>323</v>
      </c>
      <c r="B70" s="12" t="s">
        <v>322</v>
      </c>
      <c r="C70" s="12">
        <v>1060</v>
      </c>
      <c r="D70" s="14">
        <v>221515.448</v>
      </c>
      <c r="E70" s="14">
        <v>187724.976</v>
      </c>
      <c r="F70" s="14"/>
      <c r="G70" s="12" t="str">
        <f>VLOOKUP(TRIM($A70),principal!$G:$G,1,0)</f>
        <v>BX80715G7400</v>
      </c>
    </row>
    <row r="71" spans="1:7" x14ac:dyDescent="0.3">
      <c r="A71" s="13" t="s">
        <v>932</v>
      </c>
      <c r="B71" s="12" t="s">
        <v>931</v>
      </c>
      <c r="C71" s="12">
        <v>30</v>
      </c>
      <c r="D71" s="14">
        <v>18725.848000000002</v>
      </c>
      <c r="E71" s="14">
        <v>15869.3</v>
      </c>
      <c r="F71" s="14"/>
      <c r="G71" s="12" t="str">
        <f>VLOOKUP(TRIM($A71),principal!$G:$G,1,0)</f>
        <v>C4092A</v>
      </c>
    </row>
    <row r="72" spans="1:7" x14ac:dyDescent="0.3">
      <c r="A72" s="13" t="s">
        <v>776</v>
      </c>
      <c r="B72" s="12" t="s">
        <v>775</v>
      </c>
      <c r="C72" s="12">
        <v>720</v>
      </c>
      <c r="D72" s="14">
        <v>42527.06</v>
      </c>
      <c r="E72" s="14">
        <v>36039.923999999999</v>
      </c>
      <c r="F72" s="14"/>
      <c r="G72" s="12" t="str">
        <f>VLOOKUP(TRIM($A72),principal!$G:$G,1,0)</f>
        <v>C50AC750G</v>
      </c>
    </row>
    <row r="73" spans="1:7" x14ac:dyDescent="0.3">
      <c r="A73" s="13" t="s">
        <v>237</v>
      </c>
      <c r="B73" s="12" t="s">
        <v>236</v>
      </c>
      <c r="C73" s="12">
        <v>0</v>
      </c>
      <c r="D73" s="14">
        <v>10981.748</v>
      </c>
      <c r="E73" s="14">
        <v>9306.5360000000001</v>
      </c>
      <c r="F73" s="14"/>
      <c r="G73" s="12" t="str">
        <f>VLOOKUP(TRIM($A73),principal!$G:$G,1,0)</f>
        <v>CAHPC564</v>
      </c>
    </row>
    <row r="74" spans="1:7" x14ac:dyDescent="0.3">
      <c r="A74" s="13" t="s">
        <v>530</v>
      </c>
      <c r="B74" s="12" t="s">
        <v>529</v>
      </c>
      <c r="C74" s="12">
        <v>180</v>
      </c>
      <c r="D74" s="14">
        <v>9642.94</v>
      </c>
      <c r="E74" s="14">
        <v>8171.9679999999998</v>
      </c>
      <c r="F74" s="14"/>
      <c r="G74" s="12" t="str">
        <f>VLOOKUP(TRIM($A74),principal!$G:$G,1,0)</f>
        <v>CANVAH32</v>
      </c>
    </row>
    <row r="75" spans="1:7" x14ac:dyDescent="0.3">
      <c r="A75" s="13" t="s">
        <v>534</v>
      </c>
      <c r="B75" s="12" t="s">
        <v>533</v>
      </c>
      <c r="C75" s="12">
        <v>180</v>
      </c>
      <c r="D75" s="14">
        <v>14533.304</v>
      </c>
      <c r="E75" s="14">
        <v>12316.412</v>
      </c>
      <c r="F75" s="14"/>
      <c r="G75" s="12" t="str">
        <f>VLOOKUP(TRIM($A75),principal!$G:$G,1,0)</f>
        <v>CANVAH64</v>
      </c>
    </row>
    <row r="76" spans="1:7" x14ac:dyDescent="0.3">
      <c r="A76" s="13" t="s">
        <v>239</v>
      </c>
      <c r="B76" s="12" t="s">
        <v>238</v>
      </c>
      <c r="C76" s="12">
        <v>0</v>
      </c>
      <c r="D76" s="14">
        <v>10909.968000000001</v>
      </c>
      <c r="E76" s="14">
        <v>9245.8559999999998</v>
      </c>
      <c r="F76" s="14"/>
      <c r="G76" s="12" t="str">
        <f>VLOOKUP(TRIM($A76),principal!$G:$G,1,0)</f>
        <v>CARC670</v>
      </c>
    </row>
    <row r="77" spans="1:7" x14ac:dyDescent="0.3">
      <c r="A77" s="13" t="s">
        <v>241</v>
      </c>
      <c r="B77" s="12" t="s">
        <v>240</v>
      </c>
      <c r="C77" s="12">
        <v>0</v>
      </c>
      <c r="D77" s="14">
        <v>13405.396000000001</v>
      </c>
      <c r="E77" s="14">
        <v>11360.48</v>
      </c>
      <c r="F77" s="14"/>
      <c r="G77" s="12" t="str">
        <f>VLOOKUP(TRIM($A77),principal!$G:$G,1,0)</f>
        <v>CARC940N</v>
      </c>
    </row>
    <row r="78" spans="1:7" x14ac:dyDescent="0.3">
      <c r="A78" s="13" t="s">
        <v>265</v>
      </c>
      <c r="B78" s="12" t="s">
        <v>264</v>
      </c>
      <c r="C78" s="12">
        <v>0</v>
      </c>
      <c r="D78" s="14">
        <v>16552.171999999999</v>
      </c>
      <c r="E78" s="14">
        <v>14027.291999999999</v>
      </c>
      <c r="F78" s="14"/>
      <c r="G78" s="12" t="str">
        <f>VLOOKUP(TRIM($A78),principal!$G:$G,1,0)</f>
        <v>CARC940NA</v>
      </c>
    </row>
    <row r="79" spans="1:7" x14ac:dyDescent="0.3">
      <c r="A79" s="13" t="s">
        <v>261</v>
      </c>
      <c r="B79" s="12" t="s">
        <v>260</v>
      </c>
      <c r="C79" s="12">
        <v>0</v>
      </c>
      <c r="D79" s="14">
        <v>16552.171999999999</v>
      </c>
      <c r="E79" s="14">
        <v>14027.291999999999</v>
      </c>
      <c r="F79" s="14"/>
      <c r="G79" s="12" t="str">
        <f>VLOOKUP(TRIM($A79),principal!$G:$G,1,0)</f>
        <v>CARC940NC</v>
      </c>
    </row>
    <row r="80" spans="1:7" x14ac:dyDescent="0.3">
      <c r="A80" s="13" t="s">
        <v>259</v>
      </c>
      <c r="B80" s="12" t="s">
        <v>258</v>
      </c>
      <c r="C80" s="12">
        <v>0</v>
      </c>
      <c r="D80" s="14">
        <v>20674.268</v>
      </c>
      <c r="E80" s="14">
        <v>17520.536</v>
      </c>
      <c r="F80" s="14"/>
      <c r="G80" s="12" t="str">
        <f>VLOOKUP(TRIM($A80),principal!$G:$G,1,0)</f>
        <v>CARC940NG</v>
      </c>
    </row>
    <row r="81" spans="1:7" x14ac:dyDescent="0.3">
      <c r="A81" s="13" t="s">
        <v>263</v>
      </c>
      <c r="B81" s="12" t="s">
        <v>262</v>
      </c>
      <c r="C81" s="12">
        <v>0</v>
      </c>
      <c r="D81" s="14">
        <v>16552.171999999999</v>
      </c>
      <c r="E81" s="14">
        <v>14027.291999999999</v>
      </c>
      <c r="F81" s="14"/>
      <c r="G81" s="12" t="str">
        <f>VLOOKUP(TRIM($A81),principal!$G:$G,1,0)</f>
        <v>CARC940NM</v>
      </c>
    </row>
    <row r="82" spans="1:7" x14ac:dyDescent="0.3">
      <c r="A82" s="13" t="s">
        <v>247</v>
      </c>
      <c r="B82" s="12" t="s">
        <v>246</v>
      </c>
      <c r="C82" s="12">
        <v>0</v>
      </c>
      <c r="D82" s="14">
        <v>7911.0439999999999</v>
      </c>
      <c r="E82" s="14">
        <v>6704.2520000000004</v>
      </c>
      <c r="F82" s="14"/>
      <c r="G82" s="12" t="str">
        <f>VLOOKUP(TRIM($A82),principal!$G:$G,1,0)</f>
        <v>CARG920A</v>
      </c>
    </row>
    <row r="83" spans="1:7" x14ac:dyDescent="0.3">
      <c r="A83" s="13" t="s">
        <v>245</v>
      </c>
      <c r="B83" s="12" t="s">
        <v>244</v>
      </c>
      <c r="C83" s="12">
        <v>0</v>
      </c>
      <c r="D83" s="14">
        <v>7911.0439999999999</v>
      </c>
      <c r="E83" s="14">
        <v>6704.2520000000004</v>
      </c>
      <c r="F83" s="14"/>
      <c r="G83" s="12" t="str">
        <f>VLOOKUP(TRIM($A83),principal!$G:$G,1,0)</f>
        <v>CARG920C</v>
      </c>
    </row>
    <row r="84" spans="1:7" x14ac:dyDescent="0.3">
      <c r="A84" s="13" t="s">
        <v>249</v>
      </c>
      <c r="B84" s="12" t="s">
        <v>248</v>
      </c>
      <c r="C84" s="12">
        <v>0</v>
      </c>
      <c r="D84" s="14">
        <v>7911.0439999999999</v>
      </c>
      <c r="E84" s="14">
        <v>6704.2520000000004</v>
      </c>
      <c r="F84" s="14"/>
      <c r="G84" s="12" t="str">
        <f>VLOOKUP(TRIM($A84),principal!$G:$G,1,0)</f>
        <v>CARG920M</v>
      </c>
    </row>
    <row r="85" spans="1:7" x14ac:dyDescent="0.3">
      <c r="A85" s="13" t="s">
        <v>243</v>
      </c>
      <c r="B85" s="12" t="s">
        <v>242</v>
      </c>
      <c r="C85" s="12">
        <v>0</v>
      </c>
      <c r="D85" s="14">
        <v>10122.164000000001</v>
      </c>
      <c r="E85" s="14">
        <v>8578.08</v>
      </c>
      <c r="F85" s="14"/>
      <c r="G85" s="12" t="str">
        <f>VLOOKUP(TRIM($A85),principal!$G:$G,1,0)</f>
        <v>CARG920N</v>
      </c>
    </row>
    <row r="86" spans="1:7" x14ac:dyDescent="0.3">
      <c r="A86" s="13" t="s">
        <v>251</v>
      </c>
      <c r="B86" s="12" t="s">
        <v>250</v>
      </c>
      <c r="C86" s="12">
        <v>0</v>
      </c>
      <c r="D86" s="14">
        <v>17136.475999999999</v>
      </c>
      <c r="E86" s="14">
        <v>14522.5</v>
      </c>
      <c r="F86" s="14"/>
      <c r="G86" s="12" t="str">
        <f>VLOOKUP(TRIM($A86),principal!$G:$G,1,0)</f>
        <v>CARG932N</v>
      </c>
    </row>
    <row r="87" spans="1:7" x14ac:dyDescent="0.3">
      <c r="A87" s="13" t="s">
        <v>255</v>
      </c>
      <c r="B87" s="12" t="s">
        <v>254</v>
      </c>
      <c r="C87" s="12">
        <v>0</v>
      </c>
      <c r="D87" s="14">
        <v>16378.864</v>
      </c>
      <c r="E87" s="14">
        <v>13880.328</v>
      </c>
      <c r="F87" s="14"/>
      <c r="G87" s="12" t="str">
        <f>VLOOKUP(TRIM($A87),principal!$G:$G,1,0)</f>
        <v>CARG933A</v>
      </c>
    </row>
    <row r="88" spans="1:7" x14ac:dyDescent="0.3">
      <c r="A88" s="13" t="s">
        <v>253</v>
      </c>
      <c r="B88" s="12" t="s">
        <v>252</v>
      </c>
      <c r="C88" s="12">
        <v>0</v>
      </c>
      <c r="D88" s="14">
        <v>16378.864</v>
      </c>
      <c r="E88" s="14">
        <v>13880.328</v>
      </c>
      <c r="F88" s="14"/>
      <c r="G88" s="12" t="str">
        <f>VLOOKUP(TRIM($A88),principal!$G:$G,1,0)</f>
        <v>CARG933C</v>
      </c>
    </row>
    <row r="89" spans="1:7" x14ac:dyDescent="0.3">
      <c r="A89" s="13" t="s">
        <v>257</v>
      </c>
      <c r="B89" s="12" t="s">
        <v>256</v>
      </c>
      <c r="C89" s="12">
        <v>0</v>
      </c>
      <c r="D89" s="14">
        <v>16378.864</v>
      </c>
      <c r="E89" s="14">
        <v>13880.328</v>
      </c>
      <c r="F89" s="14"/>
      <c r="G89" s="12" t="str">
        <f>VLOOKUP(TRIM($A89),principal!$G:$G,1,0)</f>
        <v>CARG933M</v>
      </c>
    </row>
    <row r="90" spans="1:7" x14ac:dyDescent="0.3">
      <c r="A90" s="13" t="s">
        <v>147</v>
      </c>
      <c r="B90" s="12" t="s">
        <v>146</v>
      </c>
      <c r="C90" s="12">
        <v>0</v>
      </c>
      <c r="D90" s="14">
        <v>26741.972000000002</v>
      </c>
      <c r="E90" s="14">
        <v>22662.648000000001</v>
      </c>
      <c r="F90" s="14"/>
      <c r="G90" s="12" t="str">
        <f>VLOOKUP(TRIM($A90),principal!$G:$G,1,0)</f>
        <v>CARL200A</v>
      </c>
    </row>
    <row r="91" spans="1:7" x14ac:dyDescent="0.3">
      <c r="A91" s="13" t="s">
        <v>143</v>
      </c>
      <c r="B91" s="12" t="s">
        <v>142</v>
      </c>
      <c r="C91" s="12">
        <v>0</v>
      </c>
      <c r="D91" s="14">
        <v>26741.972000000002</v>
      </c>
      <c r="E91" s="14">
        <v>22662.648000000001</v>
      </c>
      <c r="F91" s="14"/>
      <c r="G91" s="12" t="str">
        <f>VLOOKUP(TRIM($A91),principal!$G:$G,1,0)</f>
        <v>CARL200C</v>
      </c>
    </row>
    <row r="92" spans="1:7" x14ac:dyDescent="0.3">
      <c r="A92" s="13" t="s">
        <v>145</v>
      </c>
      <c r="B92" s="12" t="s">
        <v>144</v>
      </c>
      <c r="C92" s="12">
        <v>0</v>
      </c>
      <c r="D92" s="14">
        <v>26741.972000000002</v>
      </c>
      <c r="E92" s="14">
        <v>22662.648000000001</v>
      </c>
      <c r="F92" s="14"/>
      <c r="G92" s="12" t="str">
        <f>VLOOKUP(TRIM($A92),principal!$G:$G,1,0)</f>
        <v>CARL200M</v>
      </c>
    </row>
    <row r="93" spans="1:7" x14ac:dyDescent="0.3">
      <c r="A93" s="13" t="s">
        <v>149</v>
      </c>
      <c r="B93" s="12" t="s">
        <v>148</v>
      </c>
      <c r="C93" s="12">
        <v>0</v>
      </c>
      <c r="D93" s="14">
        <v>28341.851999999999</v>
      </c>
      <c r="E93" s="14">
        <v>24018.624</v>
      </c>
      <c r="F93" s="14"/>
      <c r="G93" s="12" t="str">
        <f>VLOOKUP(TRIM($A93),principal!$G:$G,1,0)</f>
        <v>CARL200N</v>
      </c>
    </row>
    <row r="94" spans="1:7" x14ac:dyDescent="0.3">
      <c r="A94" s="13" t="s">
        <v>151</v>
      </c>
      <c r="B94" s="12" t="s">
        <v>150</v>
      </c>
      <c r="C94" s="12">
        <v>0</v>
      </c>
      <c r="D94" s="14">
        <v>49806.883999999998</v>
      </c>
      <c r="E94" s="14">
        <v>42209.303999999996</v>
      </c>
      <c r="F94" s="14"/>
      <c r="G94" s="12" t="str">
        <f>VLOOKUP(TRIM($A94),principal!$G:$G,1,0)</f>
        <v>CARL800C</v>
      </c>
    </row>
    <row r="95" spans="1:7" x14ac:dyDescent="0.3">
      <c r="A95" s="13" t="s">
        <v>153</v>
      </c>
      <c r="B95" s="12" t="s">
        <v>152</v>
      </c>
      <c r="C95" s="12">
        <v>0</v>
      </c>
      <c r="D95" s="14">
        <v>49806.883999999998</v>
      </c>
      <c r="E95" s="14">
        <v>42209.303999999996</v>
      </c>
      <c r="F95" s="14"/>
      <c r="G95" s="12" t="str">
        <f>VLOOKUP(TRIM($A95),principal!$G:$G,1,0)</f>
        <v>CARL800LC</v>
      </c>
    </row>
    <row r="96" spans="1:7" x14ac:dyDescent="0.3">
      <c r="A96" s="13" t="s">
        <v>155</v>
      </c>
      <c r="B96" s="12" t="s">
        <v>154</v>
      </c>
      <c r="C96" s="12">
        <v>0</v>
      </c>
      <c r="D96" s="14">
        <v>49806.883999999998</v>
      </c>
      <c r="E96" s="14">
        <v>42209.303999999996</v>
      </c>
      <c r="F96" s="14"/>
      <c r="G96" s="12" t="str">
        <f>VLOOKUP(TRIM($A96),principal!$G:$G,1,0)</f>
        <v>CARL800M</v>
      </c>
    </row>
    <row r="97" spans="1:7" x14ac:dyDescent="0.3">
      <c r="A97" s="13" t="s">
        <v>189</v>
      </c>
      <c r="B97" s="12" t="s">
        <v>188</v>
      </c>
      <c r="C97" s="12">
        <v>0</v>
      </c>
      <c r="D97" s="14">
        <v>2697.0039999999999</v>
      </c>
      <c r="E97" s="14">
        <v>2285.712</v>
      </c>
      <c r="F97" s="14"/>
      <c r="G97" s="12" t="str">
        <f>VLOOKUP(TRIM($A97),principal!$G:$G,1,0)</f>
        <v>CARPT632G</v>
      </c>
    </row>
    <row r="98" spans="1:7" x14ac:dyDescent="0.3">
      <c r="A98" s="13" t="s">
        <v>187</v>
      </c>
      <c r="B98" s="12" t="s">
        <v>186</v>
      </c>
      <c r="C98" s="12">
        <v>0</v>
      </c>
      <c r="D98" s="14">
        <v>2697.0039999999999</v>
      </c>
      <c r="E98" s="14">
        <v>2285.712</v>
      </c>
      <c r="F98" s="14"/>
      <c r="G98" s="12" t="str">
        <f>VLOOKUP(TRIM($A98),principal!$G:$G,1,0)</f>
        <v>CARPT633G</v>
      </c>
    </row>
    <row r="99" spans="1:7" x14ac:dyDescent="0.3">
      <c r="A99" s="13" t="s">
        <v>191</v>
      </c>
      <c r="B99" s="12" t="s">
        <v>190</v>
      </c>
      <c r="C99" s="12">
        <v>0</v>
      </c>
      <c r="D99" s="14">
        <v>2697.0039999999999</v>
      </c>
      <c r="E99" s="14">
        <v>2285.712</v>
      </c>
      <c r="F99" s="14"/>
      <c r="G99" s="12" t="str">
        <f>VLOOKUP(TRIM($A99),principal!$G:$G,1,0)</f>
        <v>CARPT731G</v>
      </c>
    </row>
    <row r="100" spans="1:7" x14ac:dyDescent="0.3">
      <c r="A100" s="13" t="s">
        <v>197</v>
      </c>
      <c r="B100" s="12" t="s">
        <v>196</v>
      </c>
      <c r="C100" s="12">
        <v>0</v>
      </c>
      <c r="D100" s="14">
        <v>2819.1039999999998</v>
      </c>
      <c r="E100" s="14">
        <v>2389.0160000000001</v>
      </c>
      <c r="F100" s="14"/>
      <c r="G100" s="12" t="str">
        <f>VLOOKUP(TRIM($A100),principal!$G:$G,1,0)</f>
        <v>CARPT732G</v>
      </c>
    </row>
    <row r="101" spans="1:7" x14ac:dyDescent="0.3">
      <c r="A101" s="13" t="s">
        <v>193</v>
      </c>
      <c r="B101" s="12" t="s">
        <v>192</v>
      </c>
      <c r="C101" s="12">
        <v>0</v>
      </c>
      <c r="D101" s="14">
        <v>2819.1039999999998</v>
      </c>
      <c r="E101" s="14">
        <v>2389.0160000000001</v>
      </c>
      <c r="F101" s="14"/>
      <c r="G101" s="12" t="str">
        <f>VLOOKUP(TRIM($A101),principal!$G:$G,1,0)</f>
        <v>CARPT733G</v>
      </c>
    </row>
    <row r="102" spans="1:7" x14ac:dyDescent="0.3">
      <c r="A102" s="13" t="s">
        <v>195</v>
      </c>
      <c r="B102" s="12" t="s">
        <v>194</v>
      </c>
      <c r="C102" s="12">
        <v>0</v>
      </c>
      <c r="D102" s="14">
        <v>2819.1039999999998</v>
      </c>
      <c r="E102" s="14">
        <v>2389.0160000000001</v>
      </c>
      <c r="F102" s="14"/>
      <c r="G102" s="12" t="str">
        <f>VLOOKUP(TRIM($A102),principal!$G:$G,1,0)</f>
        <v>CARPT734G</v>
      </c>
    </row>
    <row r="103" spans="1:7" x14ac:dyDescent="0.3">
      <c r="A103" s="13" t="s">
        <v>359</v>
      </c>
      <c r="B103" s="12" t="s">
        <v>358</v>
      </c>
      <c r="C103" s="12">
        <v>360</v>
      </c>
      <c r="D103" s="14">
        <v>117452.504</v>
      </c>
      <c r="E103" s="14">
        <v>99536.067999999999</v>
      </c>
      <c r="F103" s="14"/>
      <c r="G103" s="12" t="str">
        <f>VLOOKUP(TRIM($A103),principal!$G:$G,1,0)</f>
        <v>CARRY1TB</v>
      </c>
    </row>
    <row r="104" spans="1:7" x14ac:dyDescent="0.3">
      <c r="A104" s="13" t="s">
        <v>357</v>
      </c>
      <c r="B104" s="12" t="s">
        <v>356</v>
      </c>
      <c r="C104" s="12">
        <v>360</v>
      </c>
      <c r="D104" s="14">
        <v>86914.775999999998</v>
      </c>
      <c r="E104" s="14">
        <v>73656.639999999999</v>
      </c>
      <c r="F104" s="14"/>
      <c r="G104" s="12" t="str">
        <f>VLOOKUP(TRIM($A104),principal!$G:$G,1,0)</f>
        <v>CARRY320</v>
      </c>
    </row>
    <row r="105" spans="1:7" x14ac:dyDescent="0.3">
      <c r="A105" s="13" t="s">
        <v>125</v>
      </c>
      <c r="B105" s="12" t="s">
        <v>124</v>
      </c>
      <c r="C105" s="12">
        <v>15</v>
      </c>
      <c r="D105" s="14">
        <v>22181.944</v>
      </c>
      <c r="E105" s="14">
        <v>18798.22</v>
      </c>
      <c r="F105" s="14"/>
      <c r="G105" s="12" t="str">
        <f>VLOOKUP(TRIM($A105),principal!$G:$G,1,0)</f>
        <v>CARRYHI</v>
      </c>
    </row>
    <row r="106" spans="1:7" x14ac:dyDescent="0.3">
      <c r="A106" s="13" t="s">
        <v>123</v>
      </c>
      <c r="B106" s="12" t="s">
        <v>122</v>
      </c>
      <c r="C106" s="12">
        <v>15</v>
      </c>
      <c r="D106" s="14">
        <v>19625.392</v>
      </c>
      <c r="E106" s="14">
        <v>16631.648000000001</v>
      </c>
      <c r="F106" s="14"/>
      <c r="G106" s="12" t="str">
        <f>VLOOKUP(TRIM($A106),principal!$G:$G,1,0)</f>
        <v>CARRYHINET</v>
      </c>
    </row>
    <row r="107" spans="1:7" x14ac:dyDescent="0.3">
      <c r="A107" s="13" t="s">
        <v>121</v>
      </c>
      <c r="B107" s="12" t="s">
        <v>120</v>
      </c>
      <c r="C107" s="12">
        <v>15</v>
      </c>
      <c r="D107" s="14">
        <v>30943.396000000001</v>
      </c>
      <c r="E107" s="14">
        <v>26223.232</v>
      </c>
      <c r="F107" s="14"/>
      <c r="G107" s="12" t="str">
        <f>VLOOKUP(TRIM($A107),principal!$G:$G,1,0)</f>
        <v>CARRYM2</v>
      </c>
    </row>
    <row r="108" spans="1:7" x14ac:dyDescent="0.3">
      <c r="A108" s="13" t="s">
        <v>199</v>
      </c>
      <c r="B108" s="12" t="s">
        <v>198</v>
      </c>
      <c r="C108" s="12">
        <v>0</v>
      </c>
      <c r="D108" s="14">
        <v>2697.0039999999999</v>
      </c>
      <c r="E108" s="14">
        <v>2285.712</v>
      </c>
      <c r="F108" s="14"/>
      <c r="G108" s="12" t="str">
        <f>VLOOKUP(TRIM($A108),principal!$G:$G,1,0)</f>
        <v>CART090AL</v>
      </c>
    </row>
    <row r="109" spans="1:7" x14ac:dyDescent="0.3">
      <c r="A109" s="13" t="s">
        <v>159</v>
      </c>
      <c r="B109" s="12" t="s">
        <v>158</v>
      </c>
      <c r="C109" s="12">
        <v>0</v>
      </c>
      <c r="D109" s="14">
        <v>13508.108</v>
      </c>
      <c r="E109" s="14">
        <v>11447.504000000001</v>
      </c>
      <c r="F109" s="14"/>
      <c r="G109" s="12" t="str">
        <f>VLOOKUP(TRIM($A109),principal!$G:$G,1,0)</f>
        <v>CART133A</v>
      </c>
    </row>
    <row r="110" spans="1:7" x14ac:dyDescent="0.3">
      <c r="A110" s="13" t="s">
        <v>217</v>
      </c>
      <c r="B110" s="12" t="s">
        <v>216</v>
      </c>
      <c r="C110" s="12">
        <v>0</v>
      </c>
      <c r="D110" s="14">
        <v>4332.4040000000005</v>
      </c>
      <c r="E110" s="14">
        <v>3671.4360000000001</v>
      </c>
      <c r="F110" s="14"/>
      <c r="G110" s="12" t="str">
        <f>VLOOKUP(TRIM($A110),principal!$G:$G,1,0)</f>
        <v>CART196AG</v>
      </c>
    </row>
    <row r="111" spans="1:7" x14ac:dyDescent="0.3">
      <c r="A111" s="13" t="s">
        <v>213</v>
      </c>
      <c r="B111" s="12" t="s">
        <v>212</v>
      </c>
      <c r="C111" s="12">
        <v>0</v>
      </c>
      <c r="D111" s="14">
        <v>4332.4040000000005</v>
      </c>
      <c r="E111" s="14">
        <v>3671.4360000000001</v>
      </c>
      <c r="F111" s="14"/>
      <c r="G111" s="12" t="str">
        <f>VLOOKUP(TRIM($A111),principal!$G:$G,1,0)</f>
        <v>CART196CG</v>
      </c>
    </row>
    <row r="112" spans="1:7" x14ac:dyDescent="0.3">
      <c r="A112" s="13" t="s">
        <v>215</v>
      </c>
      <c r="B112" s="12" t="s">
        <v>214</v>
      </c>
      <c r="C112" s="12">
        <v>0</v>
      </c>
      <c r="D112" s="14">
        <v>4332.4040000000005</v>
      </c>
      <c r="E112" s="14">
        <v>3671.4360000000001</v>
      </c>
      <c r="F112" s="14"/>
      <c r="G112" s="12" t="str">
        <f>VLOOKUP(TRIM($A112),principal!$G:$G,1,0)</f>
        <v>CART196MG</v>
      </c>
    </row>
    <row r="113" spans="1:7" x14ac:dyDescent="0.3">
      <c r="A113" s="13" t="s">
        <v>219</v>
      </c>
      <c r="B113" s="12" t="s">
        <v>218</v>
      </c>
      <c r="C113" s="12">
        <v>0</v>
      </c>
      <c r="D113" s="14">
        <v>4298.5119999999997</v>
      </c>
      <c r="E113" s="14">
        <v>3642.8719999999998</v>
      </c>
      <c r="F113" s="14"/>
      <c r="G113" s="12" t="str">
        <f>VLOOKUP(TRIM($A113),principal!$G:$G,1,0)</f>
        <v>CART197NG</v>
      </c>
    </row>
    <row r="114" spans="1:7" x14ac:dyDescent="0.3">
      <c r="A114" s="13" t="s">
        <v>233</v>
      </c>
      <c r="B114" s="12" t="s">
        <v>232</v>
      </c>
      <c r="C114" s="12">
        <v>0</v>
      </c>
      <c r="D114" s="14">
        <v>9779.3960000000006</v>
      </c>
      <c r="E114" s="14">
        <v>8287.5560000000005</v>
      </c>
      <c r="F114" s="14"/>
      <c r="G114" s="12" t="str">
        <f>VLOOKUP(TRIM($A114),principal!$G:$G,1,0)</f>
        <v>CART206AG</v>
      </c>
    </row>
    <row r="115" spans="1:7" x14ac:dyDescent="0.3">
      <c r="A115" s="13" t="s">
        <v>229</v>
      </c>
      <c r="B115" s="12" t="s">
        <v>228</v>
      </c>
      <c r="C115" s="12">
        <v>0</v>
      </c>
      <c r="D115" s="14">
        <v>9779.3960000000006</v>
      </c>
      <c r="E115" s="14">
        <v>8287.5560000000005</v>
      </c>
      <c r="F115" s="14"/>
      <c r="G115" s="12" t="str">
        <f>VLOOKUP(TRIM($A115),principal!$G:$G,1,0)</f>
        <v>CART206CG</v>
      </c>
    </row>
    <row r="116" spans="1:7" x14ac:dyDescent="0.3">
      <c r="A116" s="13" t="s">
        <v>231</v>
      </c>
      <c r="B116" s="12" t="s">
        <v>230</v>
      </c>
      <c r="C116" s="12">
        <v>0</v>
      </c>
      <c r="D116" s="14">
        <v>9779.3960000000006</v>
      </c>
      <c r="E116" s="14">
        <v>8287.5560000000005</v>
      </c>
      <c r="F116" s="14"/>
      <c r="G116" s="12" t="str">
        <f>VLOOKUP(TRIM($A116),principal!$G:$G,1,0)</f>
        <v>CART206MG</v>
      </c>
    </row>
    <row r="117" spans="1:7" x14ac:dyDescent="0.3">
      <c r="A117" s="13" t="s">
        <v>235</v>
      </c>
      <c r="B117" s="12" t="s">
        <v>234</v>
      </c>
      <c r="C117" s="12">
        <v>0</v>
      </c>
      <c r="D117" s="14">
        <v>9372.5439999999999</v>
      </c>
      <c r="E117" s="14">
        <v>7942.8639999999996</v>
      </c>
      <c r="F117" s="14"/>
      <c r="G117" s="12" t="str">
        <f>VLOOKUP(TRIM($A117),principal!$G:$G,1,0)</f>
        <v>CART206NG</v>
      </c>
    </row>
    <row r="118" spans="1:7" x14ac:dyDescent="0.3">
      <c r="A118" s="13" t="s">
        <v>223</v>
      </c>
      <c r="B118" s="12" t="s">
        <v>222</v>
      </c>
      <c r="C118" s="12">
        <v>0</v>
      </c>
      <c r="D118" s="14">
        <v>7097.34</v>
      </c>
      <c r="E118" s="14">
        <v>6014.72</v>
      </c>
      <c r="F118" s="14"/>
      <c r="G118" s="12" t="str">
        <f>VLOOKUP(TRIM($A118),principal!$G:$G,1,0)</f>
        <v>CART296AP</v>
      </c>
    </row>
    <row r="119" spans="1:7" x14ac:dyDescent="0.3">
      <c r="A119" s="13" t="s">
        <v>227</v>
      </c>
      <c r="B119" s="12" t="s">
        <v>226</v>
      </c>
      <c r="C119" s="12">
        <v>0</v>
      </c>
      <c r="D119" s="14">
        <v>7097.34</v>
      </c>
      <c r="E119" s="14">
        <v>6014.72</v>
      </c>
      <c r="F119" s="14"/>
      <c r="G119" s="12" t="str">
        <f>VLOOKUP(TRIM($A119),principal!$G:$G,1,0)</f>
        <v>CART296CP</v>
      </c>
    </row>
    <row r="120" spans="1:7" x14ac:dyDescent="0.3">
      <c r="A120" s="13" t="s">
        <v>225</v>
      </c>
      <c r="B120" s="12" t="s">
        <v>224</v>
      </c>
      <c r="C120" s="12">
        <v>0</v>
      </c>
      <c r="D120" s="14">
        <v>7097.34</v>
      </c>
      <c r="E120" s="14">
        <v>6014.72</v>
      </c>
      <c r="F120" s="14"/>
      <c r="G120" s="12" t="str">
        <f>VLOOKUP(TRIM($A120),principal!$G:$G,1,0)</f>
        <v>CART296MP</v>
      </c>
    </row>
    <row r="121" spans="1:7" x14ac:dyDescent="0.3">
      <c r="A121" s="13" t="s">
        <v>221</v>
      </c>
      <c r="B121" s="12" t="s">
        <v>220</v>
      </c>
      <c r="C121" s="12">
        <v>0</v>
      </c>
      <c r="D121" s="14">
        <v>7143.96</v>
      </c>
      <c r="E121" s="14">
        <v>6054.0879999999997</v>
      </c>
      <c r="F121" s="14"/>
      <c r="G121" s="12" t="str">
        <f>VLOOKUP(TRIM($A121),principal!$G:$G,1,0)</f>
        <v>CART297NP</v>
      </c>
    </row>
    <row r="122" spans="1:7" x14ac:dyDescent="0.3">
      <c r="A122" s="13" t="s">
        <v>161</v>
      </c>
      <c r="B122" s="12" t="s">
        <v>160</v>
      </c>
      <c r="C122" s="12">
        <v>0</v>
      </c>
      <c r="D122" s="14">
        <v>13391.632</v>
      </c>
      <c r="E122" s="14">
        <v>11348.788</v>
      </c>
      <c r="F122" s="14"/>
      <c r="G122" s="12" t="str">
        <f>VLOOKUP(TRIM($A122),principal!$G:$G,1,0)</f>
        <v>CART732</v>
      </c>
    </row>
    <row r="123" spans="1:7" x14ac:dyDescent="0.3">
      <c r="A123" s="13" t="s">
        <v>157</v>
      </c>
      <c r="B123" s="12" t="s">
        <v>156</v>
      </c>
      <c r="C123" s="12">
        <v>0</v>
      </c>
      <c r="D123" s="14">
        <v>13391.632</v>
      </c>
      <c r="E123" s="14">
        <v>11348.788</v>
      </c>
      <c r="F123" s="14"/>
      <c r="G123" s="12" t="str">
        <f>VLOOKUP(TRIM($A123),principal!$G:$G,1,0)</f>
        <v>CART734</v>
      </c>
    </row>
    <row r="124" spans="1:7" x14ac:dyDescent="0.3">
      <c r="A124" s="13" t="s">
        <v>267</v>
      </c>
      <c r="B124" s="12" t="s">
        <v>266</v>
      </c>
      <c r="C124" s="12">
        <v>0</v>
      </c>
      <c r="D124" s="14">
        <v>15516.023999999999</v>
      </c>
      <c r="E124" s="14">
        <v>13149.208000000001</v>
      </c>
      <c r="F124" s="14"/>
      <c r="G124" s="12" t="str">
        <f>VLOOKUP(TRIM($A124),principal!$G:$G,1,0)</f>
        <v>CARTGL950XL</v>
      </c>
    </row>
    <row r="125" spans="1:7" x14ac:dyDescent="0.3">
      <c r="A125" s="13" t="s">
        <v>271</v>
      </c>
      <c r="B125" s="12" t="s">
        <v>270</v>
      </c>
      <c r="C125" s="12">
        <v>0</v>
      </c>
      <c r="D125" s="14">
        <v>14856.388000000001</v>
      </c>
      <c r="E125" s="14">
        <v>12590.212</v>
      </c>
      <c r="F125" s="14"/>
      <c r="G125" s="12" t="str">
        <f>VLOOKUP(TRIM($A125),principal!$G:$G,1,0)</f>
        <v>CARTGL951C</v>
      </c>
    </row>
    <row r="126" spans="1:7" x14ac:dyDescent="0.3">
      <c r="A126" s="13" t="s">
        <v>269</v>
      </c>
      <c r="B126" s="12" t="s">
        <v>268</v>
      </c>
      <c r="C126" s="12">
        <v>0</v>
      </c>
      <c r="D126" s="14">
        <v>15010.16</v>
      </c>
      <c r="E126" s="14">
        <v>12720.6</v>
      </c>
      <c r="F126" s="14"/>
      <c r="G126" s="12" t="str">
        <f>VLOOKUP(TRIM($A126),principal!$G:$G,1,0)</f>
        <v>CARTGL951M</v>
      </c>
    </row>
    <row r="127" spans="1:7" x14ac:dyDescent="0.3">
      <c r="A127" s="13" t="s">
        <v>273</v>
      </c>
      <c r="B127" s="12" t="s">
        <v>272</v>
      </c>
      <c r="C127" s="12">
        <v>0</v>
      </c>
      <c r="D127" s="14">
        <v>14856.388000000001</v>
      </c>
      <c r="E127" s="14">
        <v>12590.212</v>
      </c>
      <c r="F127" s="14"/>
      <c r="G127" s="12" t="str">
        <f>VLOOKUP(TRIM($A127),principal!$G:$G,1,0)</f>
        <v>CARTGL951Y</v>
      </c>
    </row>
    <row r="128" spans="1:7" x14ac:dyDescent="0.3">
      <c r="A128" s="13" t="s">
        <v>906</v>
      </c>
      <c r="B128" s="12" t="s">
        <v>905</v>
      </c>
      <c r="C128" s="12">
        <v>30</v>
      </c>
      <c r="D128" s="14">
        <v>13034.951999999999</v>
      </c>
      <c r="E128" s="14">
        <v>11046.572</v>
      </c>
      <c r="F128" s="14"/>
      <c r="G128" s="12" t="str">
        <f>VLOOKUP(TRIM($A128),principal!$G:$G,1,0)</f>
        <v>CE280A</v>
      </c>
    </row>
    <row r="129" spans="1:7" x14ac:dyDescent="0.3">
      <c r="A129" s="13" t="s">
        <v>972</v>
      </c>
      <c r="B129" s="12" t="s">
        <v>971</v>
      </c>
      <c r="C129" s="12">
        <v>30</v>
      </c>
      <c r="D129" s="14">
        <v>10567.495999999999</v>
      </c>
      <c r="E129" s="14">
        <v>8955.48</v>
      </c>
      <c r="F129" s="14"/>
      <c r="G129" s="12" t="str">
        <f>VLOOKUP(TRIM($A129),principal!$G:$G,1,0)</f>
        <v>CE310A</v>
      </c>
    </row>
    <row r="130" spans="1:7" x14ac:dyDescent="0.3">
      <c r="A130" s="13" t="s">
        <v>974</v>
      </c>
      <c r="B130" s="12" t="s">
        <v>973</v>
      </c>
      <c r="C130" s="12">
        <v>30</v>
      </c>
      <c r="D130" s="14">
        <v>10464.932000000001</v>
      </c>
      <c r="E130" s="14">
        <v>8868.6039999999994</v>
      </c>
      <c r="F130" s="14"/>
      <c r="G130" s="12" t="str">
        <f>VLOOKUP(TRIM($A130),principal!$G:$G,1,0)</f>
        <v>CE311A</v>
      </c>
    </row>
    <row r="131" spans="1:7" x14ac:dyDescent="0.3">
      <c r="A131" s="13" t="s">
        <v>976</v>
      </c>
      <c r="B131" s="12" t="s">
        <v>975</v>
      </c>
      <c r="C131" s="12">
        <v>30</v>
      </c>
      <c r="D131" s="14">
        <v>10567.495999999999</v>
      </c>
      <c r="E131" s="14">
        <v>8955.48</v>
      </c>
      <c r="F131" s="14"/>
      <c r="G131" s="12" t="str">
        <f>VLOOKUP(TRIM($A131),principal!$G:$G,1,0)</f>
        <v>CE312A</v>
      </c>
    </row>
    <row r="132" spans="1:7" x14ac:dyDescent="0.3">
      <c r="A132" s="13" t="s">
        <v>978</v>
      </c>
      <c r="B132" s="12" t="s">
        <v>977</v>
      </c>
      <c r="C132" s="12">
        <v>30</v>
      </c>
      <c r="D132" s="14">
        <v>10567.495999999999</v>
      </c>
      <c r="E132" s="14">
        <v>8955.48</v>
      </c>
      <c r="F132" s="14"/>
      <c r="G132" s="12" t="str">
        <f>VLOOKUP(TRIM($A132),principal!$G:$G,1,0)</f>
        <v>CE313A</v>
      </c>
    </row>
    <row r="133" spans="1:7" x14ac:dyDescent="0.3">
      <c r="A133" s="13" t="s">
        <v>980</v>
      </c>
      <c r="B133" s="12" t="s">
        <v>979</v>
      </c>
      <c r="C133" s="12">
        <v>30</v>
      </c>
      <c r="D133" s="14">
        <v>15433.588</v>
      </c>
      <c r="E133" s="14">
        <v>13079.352000000001</v>
      </c>
      <c r="F133" s="14"/>
      <c r="G133" s="12" t="str">
        <f>VLOOKUP(TRIM($A133),principal!$G:$G,1,0)</f>
        <v>CE320A</v>
      </c>
    </row>
    <row r="134" spans="1:7" x14ac:dyDescent="0.3">
      <c r="A134" s="13" t="s">
        <v>982</v>
      </c>
      <c r="B134" s="12" t="s">
        <v>981</v>
      </c>
      <c r="C134" s="12">
        <v>30</v>
      </c>
      <c r="D134" s="14">
        <v>15433.588</v>
      </c>
      <c r="E134" s="14">
        <v>13079.352000000001</v>
      </c>
      <c r="F134" s="14"/>
      <c r="G134" s="12" t="str">
        <f>VLOOKUP(TRIM($A134),principal!$G:$G,1,0)</f>
        <v>CE321A</v>
      </c>
    </row>
    <row r="135" spans="1:7" x14ac:dyDescent="0.3">
      <c r="A135" s="13" t="s">
        <v>984</v>
      </c>
      <c r="B135" s="12" t="s">
        <v>983</v>
      </c>
      <c r="C135" s="12">
        <v>30</v>
      </c>
      <c r="D135" s="14">
        <v>15433.588</v>
      </c>
      <c r="E135" s="14">
        <v>13079.352000000001</v>
      </c>
      <c r="F135" s="14"/>
      <c r="G135" s="12" t="str">
        <f>VLOOKUP(TRIM($A135),principal!$G:$G,1,0)</f>
        <v>CE322A</v>
      </c>
    </row>
    <row r="136" spans="1:7" x14ac:dyDescent="0.3">
      <c r="A136" s="13" t="s">
        <v>986</v>
      </c>
      <c r="B136" s="12" t="s">
        <v>985</v>
      </c>
      <c r="C136" s="12">
        <v>30</v>
      </c>
      <c r="D136" s="14">
        <v>15433.588</v>
      </c>
      <c r="E136" s="14">
        <v>13079.352000000001</v>
      </c>
      <c r="F136" s="14"/>
      <c r="G136" s="12" t="str">
        <f>VLOOKUP(TRIM($A136),principal!$G:$G,1,0)</f>
        <v>CE323A</v>
      </c>
    </row>
    <row r="137" spans="1:7" x14ac:dyDescent="0.3">
      <c r="A137" s="13" t="s">
        <v>964</v>
      </c>
      <c r="B137" s="12" t="s">
        <v>963</v>
      </c>
      <c r="C137" s="12">
        <v>30</v>
      </c>
      <c r="D137" s="14">
        <v>19873.292000000001</v>
      </c>
      <c r="E137" s="14">
        <v>16841.808000000001</v>
      </c>
      <c r="F137" s="14"/>
      <c r="G137" s="12" t="str">
        <f>VLOOKUP(TRIM($A137),principal!$G:$G,1,0)</f>
        <v>CE410A</v>
      </c>
    </row>
    <row r="138" spans="1:7" x14ac:dyDescent="0.3">
      <c r="A138" s="13" t="s">
        <v>966</v>
      </c>
      <c r="B138" s="12" t="s">
        <v>965</v>
      </c>
      <c r="C138" s="12">
        <v>30</v>
      </c>
      <c r="D138" s="14">
        <v>19873.292000000001</v>
      </c>
      <c r="E138" s="14">
        <v>16841.808000000001</v>
      </c>
      <c r="F138" s="14"/>
      <c r="G138" s="12" t="str">
        <f>VLOOKUP(TRIM($A138),principal!$G:$G,1,0)</f>
        <v>CE411A</v>
      </c>
    </row>
    <row r="139" spans="1:7" x14ac:dyDescent="0.3">
      <c r="A139" s="13" t="s">
        <v>970</v>
      </c>
      <c r="B139" s="12" t="s">
        <v>969</v>
      </c>
      <c r="C139" s="12">
        <v>30</v>
      </c>
      <c r="D139" s="14">
        <v>19873.292000000001</v>
      </c>
      <c r="E139" s="14">
        <v>16841.808000000001</v>
      </c>
      <c r="F139" s="14"/>
      <c r="G139" s="12" t="str">
        <f>VLOOKUP(TRIM($A139),principal!$G:$G,1,0)</f>
        <v>CE412A</v>
      </c>
    </row>
    <row r="140" spans="1:7" x14ac:dyDescent="0.3">
      <c r="A140" s="13" t="s">
        <v>968</v>
      </c>
      <c r="B140" s="12" t="s">
        <v>967</v>
      </c>
      <c r="C140" s="12">
        <v>30</v>
      </c>
      <c r="D140" s="14">
        <v>19873.292000000001</v>
      </c>
      <c r="E140" s="14">
        <v>16841.808000000001</v>
      </c>
      <c r="F140" s="14"/>
      <c r="G140" s="12" t="str">
        <f>VLOOKUP(TRIM($A140),principal!$G:$G,1,0)</f>
        <v>CE413A</v>
      </c>
    </row>
    <row r="141" spans="1:7" x14ac:dyDescent="0.3">
      <c r="A141" s="13" t="s">
        <v>56</v>
      </c>
      <c r="B141" s="12" t="s">
        <v>1893</v>
      </c>
      <c r="C141" s="12">
        <v>15</v>
      </c>
      <c r="D141" s="14">
        <v>8706.2479999999996</v>
      </c>
      <c r="E141" s="14">
        <v>7378.0959999999995</v>
      </c>
      <c r="F141" s="14"/>
      <c r="G141" s="12" t="str">
        <f>VLOOKUP(TRIM($A141),principal!$G:$G,1,0)</f>
        <v>CELADATA</v>
      </c>
    </row>
    <row r="142" spans="1:7" x14ac:dyDescent="0.3">
      <c r="A142" s="13" t="s">
        <v>922</v>
      </c>
      <c r="B142" s="12" t="s">
        <v>921</v>
      </c>
      <c r="C142" s="12">
        <v>30</v>
      </c>
      <c r="D142" s="14">
        <v>8911.6720000000005</v>
      </c>
      <c r="E142" s="14">
        <v>7552.2920000000004</v>
      </c>
      <c r="F142" s="14"/>
      <c r="G142" s="12" t="str">
        <f>VLOOKUP(TRIM($A142),principal!$G:$G,1,0)</f>
        <v>CF217AC</v>
      </c>
    </row>
    <row r="143" spans="1:7" x14ac:dyDescent="0.3">
      <c r="A143" s="13" t="s">
        <v>924</v>
      </c>
      <c r="B143" s="12" t="s">
        <v>923</v>
      </c>
      <c r="C143" s="12">
        <v>30</v>
      </c>
      <c r="D143" s="14">
        <v>13301.056</v>
      </c>
      <c r="E143" s="14">
        <v>11271.976000000001</v>
      </c>
      <c r="F143" s="14"/>
      <c r="G143" s="12" t="str">
        <f>VLOOKUP(TRIM($A143),principal!$G:$G,1,0)</f>
        <v>CF219AS</v>
      </c>
    </row>
    <row r="144" spans="1:7" x14ac:dyDescent="0.3">
      <c r="A144" s="13" t="s">
        <v>902</v>
      </c>
      <c r="B144" s="12" t="s">
        <v>901</v>
      </c>
      <c r="C144" s="12">
        <v>30</v>
      </c>
      <c r="D144" s="14">
        <v>23941.812000000002</v>
      </c>
      <c r="E144" s="14">
        <v>20289.616000000002</v>
      </c>
      <c r="F144" s="14"/>
      <c r="G144" s="12" t="str">
        <f>VLOOKUP(TRIM($A144),principal!$G:$G,1,0)</f>
        <v>CF226X</v>
      </c>
    </row>
    <row r="145" spans="1:7" x14ac:dyDescent="0.3">
      <c r="A145" s="13" t="s">
        <v>930</v>
      </c>
      <c r="B145" s="12" t="s">
        <v>929</v>
      </c>
      <c r="C145" s="12">
        <v>30</v>
      </c>
      <c r="D145" s="14">
        <v>9310.68</v>
      </c>
      <c r="E145" s="14">
        <v>7890.4719999999998</v>
      </c>
      <c r="F145" s="14"/>
      <c r="G145" s="12" t="str">
        <f>VLOOKUP(TRIM($A145),principal!$G:$G,1,0)</f>
        <v>CF230A_C</v>
      </c>
    </row>
    <row r="146" spans="1:7" x14ac:dyDescent="0.3">
      <c r="A146" s="13" t="s">
        <v>904</v>
      </c>
      <c r="B146" s="12" t="s">
        <v>903</v>
      </c>
      <c r="C146" s="12">
        <v>30</v>
      </c>
      <c r="D146" s="14">
        <v>18950.216</v>
      </c>
      <c r="E146" s="14">
        <v>16059.628000000001</v>
      </c>
      <c r="F146" s="14"/>
      <c r="G146" s="12" t="str">
        <f>VLOOKUP(TRIM($A146),principal!$G:$G,1,0)</f>
        <v>CF248ACHIP</v>
      </c>
    </row>
    <row r="147" spans="1:7" x14ac:dyDescent="0.3">
      <c r="A147" s="13" t="s">
        <v>888</v>
      </c>
      <c r="B147" s="12" t="s">
        <v>887</v>
      </c>
      <c r="C147" s="12">
        <v>30</v>
      </c>
      <c r="D147" s="14">
        <v>25037.603999999999</v>
      </c>
      <c r="E147" s="14">
        <v>21218.315999999999</v>
      </c>
      <c r="F147" s="14"/>
      <c r="G147" s="12" t="str">
        <f>VLOOKUP(TRIM($A147),principal!$G:$G,1,0)</f>
        <v>CF258A</v>
      </c>
    </row>
    <row r="148" spans="1:7" x14ac:dyDescent="0.3">
      <c r="A148" s="13" t="s">
        <v>908</v>
      </c>
      <c r="B148" s="12" t="s">
        <v>907</v>
      </c>
      <c r="C148" s="12">
        <v>30</v>
      </c>
      <c r="D148" s="14">
        <v>108469.2</v>
      </c>
      <c r="E148" s="14">
        <v>91923.096000000005</v>
      </c>
      <c r="F148" s="14"/>
      <c r="G148" s="12" t="str">
        <f>VLOOKUP(TRIM($A148),principal!$G:$G,1,0)</f>
        <v>CF281A</v>
      </c>
    </row>
    <row r="149" spans="1:7" x14ac:dyDescent="0.3">
      <c r="A149" s="13" t="s">
        <v>894</v>
      </c>
      <c r="B149" s="12" t="s">
        <v>893</v>
      </c>
      <c r="C149" s="12">
        <v>30</v>
      </c>
      <c r="D149" s="14">
        <v>30236.400000000001</v>
      </c>
      <c r="E149" s="14">
        <v>25624.128000000001</v>
      </c>
      <c r="F149" s="14"/>
      <c r="G149" s="12" t="str">
        <f>VLOOKUP(TRIM($A149),principal!$G:$G,1,0)</f>
        <v>CF287A</v>
      </c>
    </row>
    <row r="150" spans="1:7" x14ac:dyDescent="0.3">
      <c r="A150" s="13" t="s">
        <v>940</v>
      </c>
      <c r="B150" s="12" t="s">
        <v>939</v>
      </c>
      <c r="C150" s="12">
        <v>30</v>
      </c>
      <c r="D150" s="14">
        <v>49799.040000000001</v>
      </c>
      <c r="E150" s="14">
        <v>42202.495999999999</v>
      </c>
      <c r="F150" s="14"/>
      <c r="G150" s="12" t="str">
        <f>VLOOKUP(TRIM($A150),principal!$G:$G,1,0)</f>
        <v>CF390A</v>
      </c>
    </row>
    <row r="151" spans="1:7" x14ac:dyDescent="0.3">
      <c r="A151" s="13" t="s">
        <v>988</v>
      </c>
      <c r="B151" s="12" t="s">
        <v>987</v>
      </c>
      <c r="C151" s="12">
        <v>30</v>
      </c>
      <c r="D151" s="14">
        <v>13447.132</v>
      </c>
      <c r="E151" s="14">
        <v>11395.852000000001</v>
      </c>
      <c r="F151" s="14"/>
      <c r="G151" s="12" t="str">
        <f>VLOOKUP(TRIM($A151),principal!$G:$G,1,0)</f>
        <v>CLT-C404SC404</v>
      </c>
    </row>
    <row r="152" spans="1:7" x14ac:dyDescent="0.3">
      <c r="A152" s="13" t="s">
        <v>992</v>
      </c>
      <c r="B152" s="12" t="s">
        <v>991</v>
      </c>
      <c r="C152" s="12">
        <v>30</v>
      </c>
      <c r="D152" s="14">
        <v>13214.328</v>
      </c>
      <c r="E152" s="14">
        <v>11198.567999999999</v>
      </c>
      <c r="F152" s="14"/>
      <c r="G152" s="12" t="str">
        <f>VLOOKUP(TRIM($A152),principal!$G:$G,1,0)</f>
        <v>CLT-C406SC406</v>
      </c>
    </row>
    <row r="153" spans="1:7" x14ac:dyDescent="0.3">
      <c r="A153" s="13" t="s">
        <v>990</v>
      </c>
      <c r="B153" s="12" t="s">
        <v>989</v>
      </c>
      <c r="C153" s="12">
        <v>30</v>
      </c>
      <c r="D153" s="14">
        <v>13447.132</v>
      </c>
      <c r="E153" s="14">
        <v>11395.852000000001</v>
      </c>
      <c r="F153" s="14"/>
      <c r="G153" s="12" t="str">
        <f>VLOOKUP(TRIM($A153),principal!$G:$G,1,0)</f>
        <v>CLT-M404SM404</v>
      </c>
    </row>
    <row r="154" spans="1:7" x14ac:dyDescent="0.3">
      <c r="A154" s="13" t="s">
        <v>994</v>
      </c>
      <c r="B154" s="12" t="s">
        <v>993</v>
      </c>
      <c r="C154" s="12">
        <v>30</v>
      </c>
      <c r="D154" s="14">
        <v>12751.384</v>
      </c>
      <c r="E154" s="14">
        <v>10806.22</v>
      </c>
      <c r="F154" s="14"/>
      <c r="G154" s="12" t="str">
        <f>VLOOKUP(TRIM($A154),principal!$G:$G,1,0)</f>
        <v>CLT-M406SM406</v>
      </c>
    </row>
    <row r="155" spans="1:7" x14ac:dyDescent="0.3">
      <c r="A155" s="13" t="s">
        <v>519</v>
      </c>
      <c r="B155" s="12" t="s">
        <v>518</v>
      </c>
      <c r="C155" s="12">
        <v>360</v>
      </c>
      <c r="D155" s="14">
        <v>129197.784</v>
      </c>
      <c r="E155" s="14">
        <v>109489.66</v>
      </c>
      <c r="F155" s="14"/>
      <c r="G155" s="12" t="str">
        <f>VLOOKUP(TRIM($A155),principal!$G:$G,1,0)</f>
        <v>CMK8GX5M1B5200</v>
      </c>
    </row>
    <row r="156" spans="1:7" x14ac:dyDescent="0.3">
      <c r="A156" s="13" t="s">
        <v>696</v>
      </c>
      <c r="B156" s="12" t="s">
        <v>695</v>
      </c>
      <c r="C156" s="12">
        <v>360</v>
      </c>
      <c r="D156" s="14">
        <v>664198.84</v>
      </c>
      <c r="E156" s="14">
        <v>562880.40800000005</v>
      </c>
      <c r="F156" s="14"/>
      <c r="G156" s="12" t="str">
        <f>VLOOKUP(TRIM($A156),principal!$G:$G,1,0)</f>
        <v>CX54282</v>
      </c>
    </row>
    <row r="157" spans="1:7" x14ac:dyDescent="0.3">
      <c r="A157" s="13" t="s">
        <v>698</v>
      </c>
      <c r="B157" s="12" t="s">
        <v>697</v>
      </c>
      <c r="C157" s="12">
        <v>360</v>
      </c>
      <c r="D157" s="14">
        <v>628360.78799999994</v>
      </c>
      <c r="E157" s="14">
        <v>532509.18000000005</v>
      </c>
      <c r="F157" s="14"/>
      <c r="G157" s="12" t="str">
        <f>VLOOKUP(TRIM($A157),principal!$G:$G,1,0)</f>
        <v>CX54716</v>
      </c>
    </row>
    <row r="158" spans="1:7" x14ac:dyDescent="0.3">
      <c r="A158" s="13" t="s">
        <v>706</v>
      </c>
      <c r="B158" s="12" t="s">
        <v>705</v>
      </c>
      <c r="C158" s="12">
        <v>360</v>
      </c>
      <c r="D158" s="14">
        <v>988221.75199999998</v>
      </c>
      <c r="E158" s="14">
        <v>837476.05599999998</v>
      </c>
      <c r="F158" s="14"/>
      <c r="G158" s="12" t="str">
        <f>VLOOKUP(TRIM($A158),principal!$G:$G,1,0)</f>
        <v>CX54814</v>
      </c>
    </row>
    <row r="159" spans="1:7" x14ac:dyDescent="0.3">
      <c r="A159" s="13" t="s">
        <v>702</v>
      </c>
      <c r="B159" s="12" t="s">
        <v>701</v>
      </c>
      <c r="C159" s="12">
        <v>360</v>
      </c>
      <c r="D159" s="14">
        <v>891173.26800000004</v>
      </c>
      <c r="E159" s="14">
        <v>755231.56799999997</v>
      </c>
      <c r="F159" s="14"/>
      <c r="G159" s="12" t="str">
        <f>VLOOKUP(TRIM($A159),principal!$G:$G,1,0)</f>
        <v>CX54882</v>
      </c>
    </row>
    <row r="160" spans="1:7" x14ac:dyDescent="0.3">
      <c r="A160" s="13" t="s">
        <v>704</v>
      </c>
      <c r="B160" s="12" t="s">
        <v>703</v>
      </c>
      <c r="C160" s="12">
        <v>360</v>
      </c>
      <c r="D160" s="14">
        <v>1010633.392</v>
      </c>
      <c r="E160" s="14">
        <v>856469.04399999999</v>
      </c>
      <c r="F160" s="14"/>
      <c r="G160" s="12" t="str">
        <f>VLOOKUP(TRIM($A160),principal!$G:$G,1,0)</f>
        <v>CX54914</v>
      </c>
    </row>
    <row r="161" spans="1:7" x14ac:dyDescent="0.3">
      <c r="A161" s="13" t="s">
        <v>700</v>
      </c>
      <c r="B161" s="12" t="s">
        <v>699</v>
      </c>
      <c r="C161" s="12">
        <v>360</v>
      </c>
      <c r="D161" s="14">
        <v>807551.04799999995</v>
      </c>
      <c r="E161" s="14">
        <v>684365.32</v>
      </c>
      <c r="F161" s="14"/>
      <c r="G161" s="12" t="str">
        <f>VLOOKUP(TRIM($A161),principal!$G:$G,1,0)</f>
        <v>CX55515</v>
      </c>
    </row>
    <row r="162" spans="1:7" x14ac:dyDescent="0.3">
      <c r="A162" s="13" t="s">
        <v>674</v>
      </c>
      <c r="B162" s="12" t="s">
        <v>673</v>
      </c>
      <c r="C162" s="12">
        <v>360</v>
      </c>
      <c r="D162" s="14">
        <v>9687.7839999999997</v>
      </c>
      <c r="E162" s="14">
        <v>8210.0040000000008</v>
      </c>
      <c r="F162" s="14"/>
      <c r="G162" s="12" t="str">
        <f>VLOOKUP(TRIM($A162),principal!$G:$G,1,0)</f>
        <v>CXK-216</v>
      </c>
    </row>
    <row r="163" spans="1:7" x14ac:dyDescent="0.3">
      <c r="A163" s="13" t="s">
        <v>387</v>
      </c>
      <c r="B163" s="12" t="s">
        <v>386</v>
      </c>
      <c r="C163" s="12">
        <v>360</v>
      </c>
      <c r="D163" s="14">
        <v>159735.364</v>
      </c>
      <c r="E163" s="14">
        <v>135368.94</v>
      </c>
      <c r="F163" s="14"/>
      <c r="G163" s="12" t="str">
        <f>VLOOKUP(TRIM($A163),principal!$G:$G,1,0)</f>
        <v>DC122TER</v>
      </c>
    </row>
    <row r="164" spans="1:7" x14ac:dyDescent="0.3">
      <c r="A164" s="13" t="s">
        <v>604</v>
      </c>
      <c r="B164" s="12" t="s">
        <v>603</v>
      </c>
      <c r="C164" s="12">
        <v>360</v>
      </c>
      <c r="D164" s="14">
        <v>539196.56000000006</v>
      </c>
      <c r="E164" s="14">
        <v>456946.3</v>
      </c>
      <c r="F164" s="14"/>
      <c r="G164" s="12" t="str">
        <f>VLOOKUP(TRIM($A164),principal!$G:$G,1,0)</f>
        <v>DCP-1617NW</v>
      </c>
    </row>
    <row r="165" spans="1:7" x14ac:dyDescent="0.3">
      <c r="A165" s="13" t="s">
        <v>606</v>
      </c>
      <c r="B165" s="12" t="s">
        <v>605</v>
      </c>
      <c r="C165" s="12">
        <v>360</v>
      </c>
      <c r="D165" s="14">
        <v>875395.87600000005</v>
      </c>
      <c r="E165" s="14">
        <v>741860.95200000005</v>
      </c>
      <c r="F165" s="14"/>
      <c r="G165" s="12" t="str">
        <f>VLOOKUP(TRIM($A165),principal!$G:$G,1,0)</f>
        <v>DCPL2540DW</v>
      </c>
    </row>
    <row r="166" spans="1:7" x14ac:dyDescent="0.3">
      <c r="A166" s="13" t="s">
        <v>608</v>
      </c>
      <c r="B166" s="12" t="s">
        <v>607</v>
      </c>
      <c r="C166" s="12">
        <v>360</v>
      </c>
      <c r="D166" s="14">
        <v>486157.652</v>
      </c>
      <c r="E166" s="14">
        <v>411997.96</v>
      </c>
      <c r="F166" s="14"/>
      <c r="G166" s="12" t="str">
        <f>VLOOKUP(TRIM($A166),principal!$G:$G,1,0)</f>
        <v>DCPT220</v>
      </c>
    </row>
    <row r="167" spans="1:7" x14ac:dyDescent="0.3">
      <c r="A167" s="13" t="s">
        <v>610</v>
      </c>
      <c r="B167" s="12" t="s">
        <v>609</v>
      </c>
      <c r="C167" s="12">
        <v>360</v>
      </c>
      <c r="D167" s="14">
        <v>519597.06800000003</v>
      </c>
      <c r="E167" s="14">
        <v>440336.408</v>
      </c>
      <c r="F167" s="14"/>
      <c r="G167" s="12" t="str">
        <f>VLOOKUP(TRIM($A167),principal!$G:$G,1,0)</f>
        <v>DCP-T420W</v>
      </c>
    </row>
    <row r="168" spans="1:7" x14ac:dyDescent="0.3">
      <c r="A168" s="13" t="s">
        <v>556</v>
      </c>
      <c r="B168" s="12" t="s">
        <v>555</v>
      </c>
      <c r="C168" s="12">
        <v>180</v>
      </c>
      <c r="D168" s="14">
        <v>111790.61599999999</v>
      </c>
      <c r="E168" s="14">
        <v>94737.907999999996</v>
      </c>
      <c r="F168" s="14"/>
      <c r="G168" s="12" t="str">
        <f>VLOOKUP(TRIM($A168),principal!$G:$G,1,0)</f>
        <v>DDR5L8GKING</v>
      </c>
    </row>
    <row r="169" spans="1:7" x14ac:dyDescent="0.3">
      <c r="A169" s="13" t="s">
        <v>105</v>
      </c>
      <c r="B169" s="12" t="s">
        <v>104</v>
      </c>
      <c r="C169" s="12">
        <v>15</v>
      </c>
      <c r="D169" s="14">
        <v>46938.347999999998</v>
      </c>
      <c r="E169" s="14">
        <v>39778.256000000001</v>
      </c>
      <c r="F169" s="14"/>
      <c r="G169" s="12" t="str">
        <f>VLOOKUP(TRIM($A169),principal!$G:$G,1,0)</f>
        <v>DEL195V334</v>
      </c>
    </row>
    <row r="170" spans="1:7" x14ac:dyDescent="0.3">
      <c r="A170" s="13" t="s">
        <v>103</v>
      </c>
      <c r="B170" s="12" t="s">
        <v>102</v>
      </c>
      <c r="C170" s="12">
        <v>15</v>
      </c>
      <c r="D170" s="14">
        <v>42343.243999999999</v>
      </c>
      <c r="E170" s="14">
        <v>35884.228000000003</v>
      </c>
      <c r="F170" s="14"/>
      <c r="G170" s="12" t="str">
        <f>VLOOKUP(TRIM($A170),principal!$G:$G,1,0)</f>
        <v>DEL19V334</v>
      </c>
    </row>
    <row r="171" spans="1:7" x14ac:dyDescent="0.3">
      <c r="A171" s="13" t="s">
        <v>798</v>
      </c>
      <c r="B171" s="12" t="s">
        <v>797</v>
      </c>
      <c r="C171" s="12">
        <v>360</v>
      </c>
      <c r="D171" s="14">
        <v>37448.588000000003</v>
      </c>
      <c r="E171" s="14">
        <v>31736.083999999999</v>
      </c>
      <c r="F171" s="14"/>
      <c r="G171" s="12" t="str">
        <f>VLOOKUP(TRIM($A171),principal!$G:$G,1,0)</f>
        <v>DGS-1008A</v>
      </c>
    </row>
    <row r="172" spans="1:7" x14ac:dyDescent="0.3">
      <c r="A172" s="13" t="s">
        <v>405</v>
      </c>
      <c r="B172" s="12" t="s">
        <v>404</v>
      </c>
      <c r="C172" s="12">
        <v>30</v>
      </c>
      <c r="D172" s="14">
        <v>140541.39199999999</v>
      </c>
      <c r="E172" s="14">
        <v>119102.852</v>
      </c>
      <c r="F172" s="14"/>
      <c r="G172" s="12" t="str">
        <f>VLOOKUP(TRIM($A172),principal!$G:$G,1,0)</f>
        <v>DISPLAY141</v>
      </c>
    </row>
    <row r="173" spans="1:7" x14ac:dyDescent="0.3">
      <c r="A173" s="13" t="s">
        <v>788</v>
      </c>
      <c r="B173" s="12" t="s">
        <v>787</v>
      </c>
      <c r="C173" s="12">
        <v>30</v>
      </c>
      <c r="D173" s="14">
        <v>506735.72</v>
      </c>
      <c r="E173" s="14">
        <v>429437.09600000002</v>
      </c>
      <c r="F173" s="14"/>
      <c r="G173" s="12" t="str">
        <f>VLOOKUP(TRIM($A173),principal!$G:$G,1,0)</f>
        <v>DK-925BK</v>
      </c>
    </row>
    <row r="174" spans="1:7" x14ac:dyDescent="0.3">
      <c r="A174" s="13" t="s">
        <v>403</v>
      </c>
      <c r="B174" s="12" t="s">
        <v>402</v>
      </c>
      <c r="C174" s="12">
        <v>1080</v>
      </c>
      <c r="D174" s="14">
        <v>1660497.1</v>
      </c>
      <c r="E174" s="14">
        <v>1407200.872</v>
      </c>
      <c r="F174" s="14"/>
      <c r="G174" s="12" t="str">
        <f>VLOOKUP(TRIM($A174),principal!$G:$G,1,0)</f>
        <v>DP22000</v>
      </c>
    </row>
    <row r="175" spans="1:7" x14ac:dyDescent="0.3">
      <c r="A175" s="13" t="s">
        <v>395</v>
      </c>
      <c r="B175" s="12" t="s">
        <v>394</v>
      </c>
      <c r="C175" s="12">
        <v>1080</v>
      </c>
      <c r="D175" s="14">
        <v>197461.15599999999</v>
      </c>
      <c r="E175" s="14">
        <v>167339.9</v>
      </c>
      <c r="F175" s="14"/>
      <c r="G175" s="12" t="str">
        <f>VLOOKUP(TRIM($A175),principal!$G:$G,1,0)</f>
        <v>DP4000</v>
      </c>
    </row>
    <row r="176" spans="1:7" x14ac:dyDescent="0.3">
      <c r="A176" s="13" t="s">
        <v>397</v>
      </c>
      <c r="B176" s="12" t="s">
        <v>396</v>
      </c>
      <c r="C176" s="12">
        <v>1080</v>
      </c>
      <c r="D176" s="14">
        <v>505045.70799999998</v>
      </c>
      <c r="E176" s="14">
        <v>428004.75199999998</v>
      </c>
      <c r="F176" s="14"/>
      <c r="G176" s="12" t="str">
        <f>VLOOKUP(TRIM($A176),principal!$G:$G,1,0)</f>
        <v>DP8000</v>
      </c>
    </row>
    <row r="177" spans="1:7" x14ac:dyDescent="0.3">
      <c r="A177" s="13" t="s">
        <v>399</v>
      </c>
      <c r="B177" s="12" t="s">
        <v>398</v>
      </c>
      <c r="C177" s="12">
        <v>1080</v>
      </c>
      <c r="D177" s="14">
        <v>487210.37599999999</v>
      </c>
      <c r="E177" s="14">
        <v>412890.10399999999</v>
      </c>
      <c r="F177" s="14"/>
      <c r="G177" s="12" t="str">
        <f>VLOOKUP(TRIM($A177),principal!$G:$G,1,0)</f>
        <v>DP8000S</v>
      </c>
    </row>
    <row r="178" spans="1:7" x14ac:dyDescent="0.3">
      <c r="A178" s="13" t="s">
        <v>892</v>
      </c>
      <c r="B178" s="12" t="s">
        <v>891</v>
      </c>
      <c r="C178" s="12">
        <v>30</v>
      </c>
      <c r="D178" s="14">
        <v>19351.740000000002</v>
      </c>
      <c r="E178" s="14">
        <v>16399.732</v>
      </c>
      <c r="F178" s="14"/>
      <c r="G178" s="12" t="str">
        <f>VLOOKUP(TRIM($A178),principal!$G:$G,1,0)</f>
        <v>DR2370</v>
      </c>
    </row>
    <row r="179" spans="1:7" x14ac:dyDescent="0.3">
      <c r="A179" s="13" t="s">
        <v>876</v>
      </c>
      <c r="B179" s="12" t="s">
        <v>875</v>
      </c>
      <c r="C179" s="12">
        <v>30</v>
      </c>
      <c r="D179" s="14">
        <v>24891.675999999999</v>
      </c>
      <c r="E179" s="14">
        <v>21094.588</v>
      </c>
      <c r="F179" s="14"/>
      <c r="G179" s="12" t="str">
        <f>VLOOKUP(TRIM($A179),principal!$G:$G,1,0)</f>
        <v>DR-420</v>
      </c>
    </row>
    <row r="180" spans="1:7" x14ac:dyDescent="0.3">
      <c r="A180" s="13" t="s">
        <v>898</v>
      </c>
      <c r="B180" s="12" t="s">
        <v>897</v>
      </c>
      <c r="C180" s="12">
        <v>30</v>
      </c>
      <c r="D180" s="14">
        <v>15439.656000000001</v>
      </c>
      <c r="E180" s="14">
        <v>13084.384</v>
      </c>
      <c r="F180" s="14"/>
      <c r="G180" s="12" t="str">
        <f>VLOOKUP(TRIM($A180),principal!$G:$G,1,0)</f>
        <v>DR820</v>
      </c>
    </row>
    <row r="181" spans="1:7" x14ac:dyDescent="0.3">
      <c r="A181" s="13" t="s">
        <v>766</v>
      </c>
      <c r="B181" s="12" t="s">
        <v>765</v>
      </c>
      <c r="C181" s="12">
        <v>180</v>
      </c>
      <c r="D181" s="14">
        <v>22776.903999999999</v>
      </c>
      <c r="E181" s="14">
        <v>19302.455999999998</v>
      </c>
      <c r="F181" s="14"/>
      <c r="G181" s="12" t="str">
        <f>VLOOKUP(TRIM($A181),principal!$G:$G,1,0)</f>
        <v>DS3WR3N</v>
      </c>
    </row>
    <row r="182" spans="1:7" x14ac:dyDescent="0.3">
      <c r="A182" s="13" t="s">
        <v>714</v>
      </c>
      <c r="B182" s="12" t="s">
        <v>713</v>
      </c>
      <c r="C182" s="12">
        <v>180</v>
      </c>
      <c r="D182" s="14">
        <v>22444.2</v>
      </c>
      <c r="E182" s="14">
        <v>19020.516</v>
      </c>
      <c r="F182" s="14"/>
      <c r="G182" s="12" t="str">
        <f>VLOOKUP(TRIM($A182),principal!$G:$G,1,0)</f>
        <v>DTXT128GBU</v>
      </c>
    </row>
    <row r="183" spans="1:7" x14ac:dyDescent="0.3">
      <c r="A183" s="13" t="s">
        <v>712</v>
      </c>
      <c r="B183" s="12" t="s">
        <v>711</v>
      </c>
      <c r="C183" s="12">
        <v>180</v>
      </c>
      <c r="D183" s="14">
        <v>15022</v>
      </c>
      <c r="E183" s="14">
        <v>12730.516</v>
      </c>
      <c r="F183" s="14"/>
      <c r="G183" s="12" t="str">
        <f>VLOOKUP(TRIM($A183),principal!$G:$G,1,0)</f>
        <v>DTXT64GBU</v>
      </c>
    </row>
    <row r="184" spans="1:7" x14ac:dyDescent="0.3">
      <c r="A184" s="13" t="s">
        <v>572</v>
      </c>
      <c r="B184" s="12" t="s">
        <v>571</v>
      </c>
      <c r="C184" s="12">
        <v>15</v>
      </c>
      <c r="D184" s="14">
        <v>5637.7640000000001</v>
      </c>
      <c r="E184" s="14">
        <v>4777.7359999999999</v>
      </c>
      <c r="F184" s="14"/>
      <c r="G184" s="12" t="str">
        <f>VLOOKUP(TRIM($A184),principal!$G:$G,1,0)</f>
        <v>DX110</v>
      </c>
    </row>
    <row r="185" spans="1:7" x14ac:dyDescent="0.3">
      <c r="A185" s="13" t="s">
        <v>574</v>
      </c>
      <c r="B185" s="12" t="s">
        <v>573</v>
      </c>
      <c r="C185" s="12">
        <v>15</v>
      </c>
      <c r="D185" s="14">
        <v>6055.2719999999999</v>
      </c>
      <c r="E185" s="14">
        <v>5131.6040000000003</v>
      </c>
      <c r="F185" s="14"/>
      <c r="G185" s="12" t="str">
        <f>VLOOKUP(TRIM($A185),principal!$G:$G,1,0)</f>
        <v>DX120</v>
      </c>
    </row>
    <row r="186" spans="1:7" x14ac:dyDescent="0.3">
      <c r="A186" s="13" t="s">
        <v>584</v>
      </c>
      <c r="B186" s="12" t="s">
        <v>583</v>
      </c>
      <c r="C186" s="12">
        <v>15</v>
      </c>
      <c r="D186" s="14">
        <v>11514.992</v>
      </c>
      <c r="E186" s="14">
        <v>9758.3799999999992</v>
      </c>
      <c r="F186" s="14"/>
      <c r="G186" s="12" t="str">
        <f>VLOOKUP(TRIM($A186),principal!$G:$G,1,0)</f>
        <v>DX7009</v>
      </c>
    </row>
    <row r="187" spans="1:7" x14ac:dyDescent="0.3">
      <c r="A187" s="13" t="s">
        <v>586</v>
      </c>
      <c r="B187" s="12" t="s">
        <v>585</v>
      </c>
      <c r="C187" s="12">
        <v>15</v>
      </c>
      <c r="D187" s="14">
        <v>11860.424000000001</v>
      </c>
      <c r="E187" s="14">
        <v>10051.124</v>
      </c>
      <c r="F187" s="14"/>
      <c r="G187" s="12" t="str">
        <f>VLOOKUP(TRIM($A187),principal!$G:$G,1,0)</f>
        <v>DX7123</v>
      </c>
    </row>
    <row r="188" spans="1:7" x14ac:dyDescent="0.3">
      <c r="A188" s="13" t="s">
        <v>856</v>
      </c>
      <c r="B188" s="12" t="s">
        <v>855</v>
      </c>
      <c r="C188" s="12">
        <v>15</v>
      </c>
      <c r="D188" s="14">
        <v>33403.451999999997</v>
      </c>
      <c r="E188" s="14">
        <v>28308.108</v>
      </c>
      <c r="F188" s="14"/>
      <c r="G188" s="12" t="str">
        <f>VLOOKUP(TRIM($A188),principal!$G:$G,1,0)</f>
        <v>E097855088819</v>
      </c>
    </row>
    <row r="189" spans="1:7" x14ac:dyDescent="0.3">
      <c r="A189" s="13" t="s">
        <v>622</v>
      </c>
      <c r="B189" s="12" t="s">
        <v>621</v>
      </c>
      <c r="C189" s="12">
        <v>360</v>
      </c>
      <c r="D189" s="14">
        <v>954579.42799999996</v>
      </c>
      <c r="E189" s="14">
        <v>852303.14</v>
      </c>
      <c r="F189" s="14"/>
      <c r="G189" s="12" t="str">
        <f>VLOOKUP(TRIM($A189),principal!$G:$G,1,0)</f>
        <v>E1504R</v>
      </c>
    </row>
    <row r="190" spans="1:7" x14ac:dyDescent="0.3">
      <c r="A190" s="13" t="s">
        <v>485</v>
      </c>
      <c r="B190" s="12" t="s">
        <v>484</v>
      </c>
      <c r="C190" s="12">
        <v>30</v>
      </c>
      <c r="D190" s="14">
        <v>82907.676000000007</v>
      </c>
      <c r="E190" s="14">
        <v>70260.78</v>
      </c>
      <c r="F190" s="14"/>
      <c r="G190" s="12" t="str">
        <f>VLOOKUP(TRIM($A190),principal!$G:$G,1,0)</f>
        <v>E3800N</v>
      </c>
    </row>
    <row r="191" spans="1:7" x14ac:dyDescent="0.3">
      <c r="A191" s="13" t="s">
        <v>796</v>
      </c>
      <c r="B191" s="12" t="s">
        <v>795</v>
      </c>
      <c r="C191" s="12">
        <v>720</v>
      </c>
      <c r="D191" s="14">
        <v>28188.524000000001</v>
      </c>
      <c r="E191" s="14">
        <v>23888.68</v>
      </c>
      <c r="F191" s="14"/>
      <c r="G191" s="12" t="str">
        <f>VLOOKUP(TRIM($A191),principal!$G:$G,1,0)</f>
        <v>E6935364020255</v>
      </c>
    </row>
    <row r="192" spans="1:7" x14ac:dyDescent="0.3">
      <c r="A192" s="13" t="s">
        <v>794</v>
      </c>
      <c r="B192" s="12" t="s">
        <v>793</v>
      </c>
      <c r="C192" s="12">
        <v>720</v>
      </c>
      <c r="D192" s="14">
        <v>32484.815999999999</v>
      </c>
      <c r="E192" s="14">
        <v>27529.48</v>
      </c>
      <c r="F192" s="14"/>
      <c r="G192" s="12" t="str">
        <f>VLOOKUP(TRIM($A192),principal!$G:$G,1,0)</f>
        <v>E6935364020293</v>
      </c>
    </row>
    <row r="193" spans="1:7" x14ac:dyDescent="0.3">
      <c r="A193" s="13" t="s">
        <v>39</v>
      </c>
      <c r="B193" s="12" t="s">
        <v>38</v>
      </c>
      <c r="C193" s="12">
        <v>720</v>
      </c>
      <c r="D193" s="14">
        <v>26002.86</v>
      </c>
      <c r="E193" s="14">
        <v>22036.312000000002</v>
      </c>
      <c r="F193" s="14"/>
      <c r="G193" s="12" t="str">
        <f>VLOOKUP(TRIM($A193),principal!$G:$G,1,0)</f>
        <v>E6935364052102</v>
      </c>
    </row>
    <row r="194" spans="1:7" x14ac:dyDescent="0.3">
      <c r="A194" s="13" t="s">
        <v>536</v>
      </c>
      <c r="B194" s="12" t="s">
        <v>535</v>
      </c>
      <c r="C194" s="12">
        <v>180</v>
      </c>
      <c r="D194" s="14">
        <v>17208.403999999999</v>
      </c>
      <c r="E194" s="14">
        <v>14583.476000000001</v>
      </c>
      <c r="F194" s="14"/>
      <c r="G194" s="12" t="str">
        <f>VLOOKUP(TRIM($A194),principal!$G:$G,1,0)</f>
        <v>E740617208108</v>
      </c>
    </row>
    <row r="195" spans="1:7" x14ac:dyDescent="0.3">
      <c r="A195" s="13" t="s">
        <v>407</v>
      </c>
      <c r="B195" s="12" t="s">
        <v>406</v>
      </c>
      <c r="C195" s="12">
        <v>360</v>
      </c>
      <c r="D195" s="14">
        <v>33235.620000000003</v>
      </c>
      <c r="E195" s="14">
        <v>28165.732</v>
      </c>
      <c r="F195" s="14"/>
      <c r="G195" s="12" t="str">
        <f>VLOOKUP(TRIM($A195),principal!$G:$G,1,0)</f>
        <v>EFORZA</v>
      </c>
    </row>
    <row r="196" spans="1:7" x14ac:dyDescent="0.3">
      <c r="A196" s="13" t="s">
        <v>169</v>
      </c>
      <c r="B196" s="12" t="s">
        <v>168</v>
      </c>
      <c r="C196" s="12">
        <v>0</v>
      </c>
      <c r="D196" s="14">
        <v>5101.7079999999996</v>
      </c>
      <c r="E196" s="14">
        <v>4323.3760000000002</v>
      </c>
      <c r="F196" s="14"/>
      <c r="G196" s="12" t="str">
        <f>VLOOKUP(TRIM($A196),principal!$G:$G,1,0)</f>
        <v>EPS-ALA</v>
      </c>
    </row>
    <row r="197" spans="1:7" x14ac:dyDescent="0.3">
      <c r="A197" s="13" t="s">
        <v>165</v>
      </c>
      <c r="B197" s="12" t="s">
        <v>164</v>
      </c>
      <c r="C197" s="12">
        <v>0</v>
      </c>
      <c r="D197" s="14">
        <v>5101.7079999999996</v>
      </c>
      <c r="E197" s="14">
        <v>4323.3760000000002</v>
      </c>
      <c r="F197" s="14"/>
      <c r="G197" s="12" t="str">
        <f>VLOOKUP(TRIM($A197),principal!$G:$G,1,0)</f>
        <v>EPS-ALC</v>
      </c>
    </row>
    <row r="198" spans="1:7" x14ac:dyDescent="0.3">
      <c r="A198" s="13" t="s">
        <v>167</v>
      </c>
      <c r="B198" s="12" t="s">
        <v>166</v>
      </c>
      <c r="C198" s="12">
        <v>0</v>
      </c>
      <c r="D198" s="14">
        <v>5101.7079999999996</v>
      </c>
      <c r="E198" s="14">
        <v>4323.3760000000002</v>
      </c>
      <c r="F198" s="14"/>
      <c r="G198" s="12" t="str">
        <f>VLOOKUP(TRIM($A198),principal!$G:$G,1,0)</f>
        <v>EPS-ALM</v>
      </c>
    </row>
    <row r="199" spans="1:7" x14ac:dyDescent="0.3">
      <c r="A199" s="13" t="s">
        <v>778</v>
      </c>
      <c r="B199" s="12" t="s">
        <v>777</v>
      </c>
      <c r="C199" s="12">
        <v>720</v>
      </c>
      <c r="D199" s="14">
        <v>51061.775999999998</v>
      </c>
      <c r="E199" s="14">
        <v>43272.684000000001</v>
      </c>
      <c r="F199" s="14"/>
      <c r="G199" s="12" t="str">
        <f>VLOOKUP(TRIM($A199),principal!$G:$G,1,0)</f>
        <v>EX141</v>
      </c>
    </row>
    <row r="200" spans="1:7" x14ac:dyDescent="0.3">
      <c r="A200" s="13" t="s">
        <v>782</v>
      </c>
      <c r="B200" s="12" t="s">
        <v>781</v>
      </c>
      <c r="C200" s="12">
        <v>720</v>
      </c>
      <c r="D200" s="14">
        <v>77189.843999999997</v>
      </c>
      <c r="E200" s="14">
        <v>65415.112000000001</v>
      </c>
      <c r="F200" s="14"/>
      <c r="G200" s="12" t="str">
        <f>VLOOKUP(TRIM($A200),principal!$G:$G,1,0)</f>
        <v>EX511</v>
      </c>
    </row>
    <row r="201" spans="1:7" x14ac:dyDescent="0.3">
      <c r="A201" s="13" t="s">
        <v>1008</v>
      </c>
      <c r="B201" s="12" t="s">
        <v>1007</v>
      </c>
      <c r="C201" s="12">
        <v>0</v>
      </c>
      <c r="D201" s="14">
        <v>21160.892</v>
      </c>
      <c r="E201" s="14">
        <v>17933.011999999999</v>
      </c>
      <c r="F201" s="14"/>
      <c r="G201" s="12" t="str">
        <f>VLOOKUP(TRIM($A201),principal!$G:$G,1,0)</f>
        <v>FAN12RGB</v>
      </c>
    </row>
    <row r="202" spans="1:7" x14ac:dyDescent="0.3">
      <c r="A202" s="13" t="s">
        <v>1010</v>
      </c>
      <c r="B202" s="12" t="s">
        <v>1009</v>
      </c>
      <c r="C202" s="12">
        <v>0</v>
      </c>
      <c r="D202" s="14">
        <v>18617.511999999999</v>
      </c>
      <c r="E202" s="14">
        <v>15777.54</v>
      </c>
      <c r="F202" s="14"/>
      <c r="G202" s="12" t="str">
        <f>VLOOKUP(TRIM($A202),principal!$G:$G,1,0)</f>
        <v>FAN12RGBBB</v>
      </c>
    </row>
    <row r="203" spans="1:7" x14ac:dyDescent="0.3">
      <c r="A203" s="13" t="s">
        <v>413</v>
      </c>
      <c r="B203" s="12" t="s">
        <v>412</v>
      </c>
      <c r="C203" s="12">
        <v>0</v>
      </c>
      <c r="D203" s="14">
        <v>14023</v>
      </c>
      <c r="E203" s="14">
        <v>11883.808000000001</v>
      </c>
      <c r="F203" s="14"/>
      <c r="G203" s="12" t="str">
        <f>VLOOKUP(TRIM($A203),principal!$G:$G,1,0)</f>
        <v>FC12V21A</v>
      </c>
    </row>
    <row r="204" spans="1:7" x14ac:dyDescent="0.3">
      <c r="A204" s="13" t="s">
        <v>415</v>
      </c>
      <c r="B204" s="12" t="s">
        <v>414</v>
      </c>
      <c r="C204" s="12">
        <v>180</v>
      </c>
      <c r="D204" s="14">
        <v>30093.284</v>
      </c>
      <c r="E204" s="14">
        <v>25502.768</v>
      </c>
      <c r="F204" s="14"/>
      <c r="G204" s="12" t="str">
        <f>VLOOKUP(TRIM($A204),principal!$G:$G,1,0)</f>
        <v>FCKELYX</v>
      </c>
    </row>
    <row r="205" spans="1:7" x14ac:dyDescent="0.3">
      <c r="A205" s="13" t="s">
        <v>417</v>
      </c>
      <c r="B205" s="12" t="s">
        <v>416</v>
      </c>
      <c r="C205" s="12">
        <v>90</v>
      </c>
      <c r="D205" s="14">
        <v>29655.204000000002</v>
      </c>
      <c r="E205" s="14">
        <v>25131.583999999999</v>
      </c>
      <c r="F205" s="14"/>
      <c r="G205" s="12" t="str">
        <f>VLOOKUP(TRIM($A205),principal!$G:$G,1,0)</f>
        <v>FCMAG600</v>
      </c>
    </row>
    <row r="206" spans="1:7" x14ac:dyDescent="0.3">
      <c r="A206" s="13" t="s">
        <v>1002</v>
      </c>
      <c r="B206" s="12" t="s">
        <v>1001</v>
      </c>
      <c r="C206" s="12">
        <v>360</v>
      </c>
      <c r="D206" s="14">
        <v>121359.704</v>
      </c>
      <c r="E206" s="14">
        <v>102847.272</v>
      </c>
      <c r="F206" s="14"/>
      <c r="G206" s="12" t="str">
        <f>VLOOKUP(TRIM($A206),principal!$G:$G,1,0)</f>
        <v>FORZA1000VA</v>
      </c>
    </row>
    <row r="207" spans="1:7" x14ac:dyDescent="0.3">
      <c r="A207" s="13" t="s">
        <v>409</v>
      </c>
      <c r="B207" s="12" t="s">
        <v>408</v>
      </c>
      <c r="C207" s="12">
        <v>360</v>
      </c>
      <c r="D207" s="14">
        <v>30710.444</v>
      </c>
      <c r="E207" s="14">
        <v>26025.8</v>
      </c>
      <c r="F207" s="14"/>
      <c r="G207" s="12" t="str">
        <f>VLOOKUP(TRIM($A207),principal!$G:$G,1,0)</f>
        <v>FORZA902A</v>
      </c>
    </row>
    <row r="208" spans="1:7" x14ac:dyDescent="0.3">
      <c r="A208" s="13" t="s">
        <v>630</v>
      </c>
      <c r="B208" s="12" t="s">
        <v>629</v>
      </c>
      <c r="C208" s="12">
        <v>720</v>
      </c>
      <c r="D208" s="14">
        <v>857578.304</v>
      </c>
      <c r="E208" s="14">
        <v>765694.87199999997</v>
      </c>
      <c r="F208" s="14"/>
      <c r="G208" s="12" t="str">
        <f>VLOOKUP(TRIM($A208),principal!$G:$G,1,0)</f>
        <v>G14I5CM</v>
      </c>
    </row>
    <row r="209" spans="1:7" x14ac:dyDescent="0.3">
      <c r="A209" s="13" t="s">
        <v>647</v>
      </c>
      <c r="B209" s="12" t="s">
        <v>646</v>
      </c>
      <c r="C209" s="12">
        <v>720</v>
      </c>
      <c r="D209" s="14">
        <v>1651224.0120000001</v>
      </c>
      <c r="E209" s="14">
        <v>1474307.18</v>
      </c>
      <c r="F209" s="14"/>
      <c r="G209" s="12" t="str">
        <f>VLOOKUP(TRIM($A209),principal!$G:$G,1,0)</f>
        <v>G15Z133050</v>
      </c>
    </row>
    <row r="210" spans="1:7" x14ac:dyDescent="0.3">
      <c r="A210" s="13" t="s">
        <v>649</v>
      </c>
      <c r="B210" s="12" t="s">
        <v>648</v>
      </c>
      <c r="C210" s="12">
        <v>720</v>
      </c>
      <c r="D210" s="14">
        <v>1937818.3160000001</v>
      </c>
      <c r="E210" s="14">
        <v>1730195.0360000001</v>
      </c>
      <c r="F210" s="14"/>
      <c r="G210" s="12" t="str">
        <f>VLOOKUP(TRIM($A210),principal!$G:$G,1,0)</f>
        <v>G15Z134050</v>
      </c>
    </row>
    <row r="211" spans="1:7" x14ac:dyDescent="0.3">
      <c r="A211" s="13" t="s">
        <v>632</v>
      </c>
      <c r="B211" s="12" t="s">
        <v>631</v>
      </c>
      <c r="C211" s="12">
        <v>720</v>
      </c>
      <c r="D211" s="14">
        <v>738531.39599999995</v>
      </c>
      <c r="E211" s="14">
        <v>659403.04799999995</v>
      </c>
      <c r="F211" s="14"/>
      <c r="G211" s="12" t="str">
        <f>VLOOKUP(TRIM($A211),principal!$G:$G,1,0)</f>
        <v>G3715CM</v>
      </c>
    </row>
    <row r="212" spans="1:7" x14ac:dyDescent="0.3">
      <c r="A212" s="13" t="s">
        <v>632</v>
      </c>
      <c r="B212" s="12" t="s">
        <v>641</v>
      </c>
      <c r="C212" s="12">
        <v>720</v>
      </c>
      <c r="D212" s="14">
        <v>901669.72400000005</v>
      </c>
      <c r="E212" s="14">
        <v>805062.28</v>
      </c>
      <c r="F212" s="14"/>
      <c r="G212" s="12" t="str">
        <f>VLOOKUP(TRIM($A212),principal!$G:$G,1,0)</f>
        <v>G3715CM</v>
      </c>
    </row>
    <row r="213" spans="1:7" x14ac:dyDescent="0.3">
      <c r="A213" s="13" t="s">
        <v>643</v>
      </c>
      <c r="B213" s="12" t="s">
        <v>642</v>
      </c>
      <c r="C213" s="12">
        <v>720</v>
      </c>
      <c r="D213" s="14">
        <v>965602.32</v>
      </c>
      <c r="E213" s="14">
        <v>862144.99199999997</v>
      </c>
      <c r="F213" s="14"/>
      <c r="G213" s="12" t="str">
        <f>VLOOKUP(TRIM($A213),principal!$G:$G,1,0)</f>
        <v>G3715CM16</v>
      </c>
    </row>
    <row r="214" spans="1:7" x14ac:dyDescent="0.3">
      <c r="A214" s="13" t="s">
        <v>645</v>
      </c>
      <c r="B214" s="12" t="s">
        <v>644</v>
      </c>
      <c r="C214" s="12">
        <v>720</v>
      </c>
      <c r="D214" s="14">
        <v>970405.21600000001</v>
      </c>
      <c r="E214" s="14">
        <v>836556.23600000003</v>
      </c>
      <c r="F214" s="14"/>
      <c r="G214" s="12" t="str">
        <f>VLOOKUP(TRIM($A214),principal!$G:$G,1,0)</f>
        <v>G52J7IFGIF</v>
      </c>
    </row>
    <row r="215" spans="1:7" x14ac:dyDescent="0.3">
      <c r="A215" s="13" t="s">
        <v>666</v>
      </c>
      <c r="B215" s="12" t="s">
        <v>665</v>
      </c>
      <c r="C215" s="12">
        <v>15</v>
      </c>
      <c r="D215" s="14">
        <v>30603.292000000001</v>
      </c>
      <c r="E215" s="14">
        <v>25935.076000000001</v>
      </c>
      <c r="F215" s="14"/>
      <c r="G215" s="12" t="str">
        <f>VLOOKUP(TRIM($A215),principal!$G:$G,1,0)</f>
        <v>G-600HRGB</v>
      </c>
    </row>
    <row r="216" spans="1:7" x14ac:dyDescent="0.3">
      <c r="A216" s="13" t="s">
        <v>437</v>
      </c>
      <c r="B216" s="12" t="s">
        <v>436</v>
      </c>
      <c r="C216" s="12">
        <v>180</v>
      </c>
      <c r="D216" s="14">
        <v>52369.947999999997</v>
      </c>
      <c r="E216" s="14">
        <v>44381.351999999999</v>
      </c>
      <c r="F216" s="14"/>
      <c r="G216" s="12" t="str">
        <f>VLOOKUP(TRIM($A216),principal!$G:$G,1,0)</f>
        <v>GABI-435R</v>
      </c>
    </row>
    <row r="217" spans="1:7" x14ac:dyDescent="0.3">
      <c r="A217" s="13" t="s">
        <v>435</v>
      </c>
      <c r="B217" s="12" t="s">
        <v>434</v>
      </c>
      <c r="C217" s="12">
        <v>180</v>
      </c>
      <c r="D217" s="14">
        <v>46059.82</v>
      </c>
      <c r="E217" s="14">
        <v>39033.667999999998</v>
      </c>
      <c r="F217" s="14"/>
      <c r="G217" s="12" t="str">
        <f>VLOOKUP(TRIM($A217),principal!$G:$G,1,0)</f>
        <v>GABI-436B</v>
      </c>
    </row>
    <row r="218" spans="1:7" x14ac:dyDescent="0.3">
      <c r="A218" s="13" t="s">
        <v>455</v>
      </c>
      <c r="B218" s="12" t="s">
        <v>454</v>
      </c>
      <c r="C218" s="12">
        <v>180</v>
      </c>
      <c r="D218" s="14">
        <v>33167.836000000003</v>
      </c>
      <c r="E218" s="14">
        <v>28108.308000000001</v>
      </c>
      <c r="F218" s="14"/>
      <c r="G218" s="12" t="str">
        <f>VLOOKUP(TRIM($A218),principal!$G:$G,1,0)</f>
        <v>GC0P038</v>
      </c>
    </row>
    <row r="219" spans="1:7" x14ac:dyDescent="0.3">
      <c r="A219" s="13" t="s">
        <v>834</v>
      </c>
      <c r="B219" s="12" t="s">
        <v>833</v>
      </c>
      <c r="C219" s="12">
        <v>15</v>
      </c>
      <c r="D219" s="14">
        <v>11490.276</v>
      </c>
      <c r="E219" s="14">
        <v>9737.5120000000006</v>
      </c>
      <c r="F219" s="14"/>
      <c r="G219" s="12" t="str">
        <f>VLOOKUP(TRIM($A219),principal!$G:$G,1,0)</f>
        <v>GENIUSKB-116</v>
      </c>
    </row>
    <row r="220" spans="1:7" x14ac:dyDescent="0.3">
      <c r="A220" s="13" t="s">
        <v>463</v>
      </c>
      <c r="B220" s="12" t="s">
        <v>462</v>
      </c>
      <c r="C220" s="12">
        <v>30</v>
      </c>
      <c r="D220" s="14">
        <v>14526.348</v>
      </c>
      <c r="E220" s="14">
        <v>12310.492</v>
      </c>
      <c r="F220" s="14"/>
      <c r="G220" s="12" t="str">
        <f>VLOOKUP(TRIM($A220),principal!$G:$G,1,0)</f>
        <v>GENIUSUH400</v>
      </c>
    </row>
    <row r="221" spans="1:7" x14ac:dyDescent="0.3">
      <c r="A221" s="13" t="s">
        <v>507</v>
      </c>
      <c r="B221" s="12" t="s">
        <v>506</v>
      </c>
      <c r="C221" s="12">
        <v>1080</v>
      </c>
      <c r="D221" s="14">
        <v>157205.6</v>
      </c>
      <c r="E221" s="14">
        <v>133225.16</v>
      </c>
      <c r="F221" s="14"/>
      <c r="G221" s="12" t="str">
        <f>VLOOKUP(TRIM($A221),principal!$G:$G,1,0)</f>
        <v>GH610MK5</v>
      </c>
    </row>
    <row r="222" spans="1:7" x14ac:dyDescent="0.3">
      <c r="A222" s="13" t="s">
        <v>756</v>
      </c>
      <c r="B222" s="12" t="s">
        <v>755</v>
      </c>
      <c r="C222" s="12">
        <v>15</v>
      </c>
      <c r="D222" s="14">
        <v>205780.976</v>
      </c>
      <c r="E222" s="14">
        <v>174390.62</v>
      </c>
      <c r="F222" s="14"/>
      <c r="G222" s="12" t="str">
        <f>VLOOKUP(TRIM($A222),principal!$G:$G,1,0)</f>
        <v>GLC-6U500</v>
      </c>
    </row>
    <row r="223" spans="1:7" x14ac:dyDescent="0.3">
      <c r="A223" s="13" t="s">
        <v>918</v>
      </c>
      <c r="B223" s="12" t="s">
        <v>917</v>
      </c>
      <c r="C223" s="12">
        <v>30</v>
      </c>
      <c r="D223" s="14">
        <v>8261.36</v>
      </c>
      <c r="E223" s="14">
        <v>7001.14</v>
      </c>
      <c r="F223" s="14"/>
      <c r="G223" s="12" t="str">
        <f>VLOOKUP(TRIM($A223),principal!$G:$G,1,0)</f>
        <v>GLO283A</v>
      </c>
    </row>
    <row r="224" spans="1:7" x14ac:dyDescent="0.3">
      <c r="A224" s="13" t="s">
        <v>934</v>
      </c>
      <c r="B224" s="12" t="s">
        <v>933</v>
      </c>
      <c r="C224" s="12">
        <v>30</v>
      </c>
      <c r="D224" s="14">
        <v>9310.68</v>
      </c>
      <c r="E224" s="14">
        <v>7890.4719999999998</v>
      </c>
      <c r="F224" s="14"/>
      <c r="G224" s="12" t="str">
        <f>VLOOKUP(TRIM($A224),principal!$G:$G,1,0)</f>
        <v>GLOB279A</v>
      </c>
    </row>
    <row r="225" spans="1:7" x14ac:dyDescent="0.3">
      <c r="A225" s="13" t="s">
        <v>926</v>
      </c>
      <c r="B225" s="12" t="s">
        <v>925</v>
      </c>
      <c r="C225" s="12">
        <v>30</v>
      </c>
      <c r="D225" s="14">
        <v>9325.6280000000006</v>
      </c>
      <c r="E225" s="14">
        <v>6459.7560000000003</v>
      </c>
      <c r="F225" s="14"/>
      <c r="G225" s="12" t="str">
        <f>VLOOKUP(TRIM($A225),principal!$G:$G,1,0)</f>
        <v>GLOBALUNI</v>
      </c>
    </row>
    <row r="226" spans="1:7" x14ac:dyDescent="0.3">
      <c r="A226" s="13" t="s">
        <v>874</v>
      </c>
      <c r="B226" s="12" t="s">
        <v>873</v>
      </c>
      <c r="C226" s="12">
        <v>30</v>
      </c>
      <c r="D226" s="14">
        <v>15961.208000000001</v>
      </c>
      <c r="E226" s="14">
        <v>13526.46</v>
      </c>
      <c r="F226" s="14"/>
      <c r="G226" s="12" t="str">
        <f>VLOOKUP(TRIM($A226),principal!$G:$G,1,0)</f>
        <v>GLOIMG1060</v>
      </c>
    </row>
    <row r="227" spans="1:7" x14ac:dyDescent="0.3">
      <c r="A227" s="13" t="s">
        <v>429</v>
      </c>
      <c r="B227" s="12" t="s">
        <v>428</v>
      </c>
      <c r="C227" s="12">
        <v>720</v>
      </c>
      <c r="D227" s="14">
        <v>104833.58</v>
      </c>
      <c r="E227" s="14">
        <v>88842.032000000007</v>
      </c>
      <c r="F227" s="14"/>
      <c r="G227" s="12" t="str">
        <f>VLOOKUP(TRIM($A227),principal!$G:$G,1,0)</f>
        <v>GP-P650SS-ICE</v>
      </c>
    </row>
    <row r="228" spans="1:7" x14ac:dyDescent="0.3">
      <c r="A228" s="13" t="s">
        <v>431</v>
      </c>
      <c r="B228" s="12" t="s">
        <v>430</v>
      </c>
      <c r="C228" s="12">
        <v>720</v>
      </c>
      <c r="D228" s="14">
        <v>132306.67199999999</v>
      </c>
      <c r="E228" s="14">
        <v>112124.208</v>
      </c>
      <c r="F228" s="14"/>
      <c r="G228" s="12" t="str">
        <f>VLOOKUP(TRIM($A228),principal!$G:$G,1,0)</f>
        <v>GP-P750BS</v>
      </c>
    </row>
    <row r="229" spans="1:7" x14ac:dyDescent="0.3">
      <c r="A229" s="13" t="s">
        <v>275</v>
      </c>
      <c r="B229" s="12" t="s">
        <v>274</v>
      </c>
      <c r="C229" s="12">
        <v>0</v>
      </c>
      <c r="D229" s="14">
        <v>4820.0640000000003</v>
      </c>
      <c r="E229" s="14">
        <v>4084.8</v>
      </c>
      <c r="F229" s="14"/>
      <c r="G229" s="12" t="str">
        <f>VLOOKUP(TRIM($A229),principal!$G:$G,1,0)</f>
        <v>GSTFS31480</v>
      </c>
    </row>
    <row r="230" spans="1:7" x14ac:dyDescent="0.3">
      <c r="A230" s="13" t="s">
        <v>179</v>
      </c>
      <c r="B230" s="12" t="s">
        <v>178</v>
      </c>
      <c r="C230" s="12">
        <v>0</v>
      </c>
      <c r="D230" s="14">
        <v>6540.5640000000003</v>
      </c>
      <c r="E230" s="14">
        <v>5542.8959999999997</v>
      </c>
      <c r="F230" s="14"/>
      <c r="G230" s="12" t="str">
        <f>VLOOKUP(TRIM($A230),principal!$G:$G,1,0)</f>
        <v>GT51-AL</v>
      </c>
    </row>
    <row r="231" spans="1:7" x14ac:dyDescent="0.3">
      <c r="A231" s="13" t="s">
        <v>185</v>
      </c>
      <c r="B231" s="12" t="s">
        <v>184</v>
      </c>
      <c r="C231" s="12">
        <v>0</v>
      </c>
      <c r="D231" s="14">
        <v>6540.5640000000003</v>
      </c>
      <c r="E231" s="14">
        <v>5542.8959999999997</v>
      </c>
      <c r="F231" s="14"/>
      <c r="G231" s="12" t="str">
        <f>VLOOKUP(TRIM($A231),principal!$G:$G,1,0)</f>
        <v>GT51-ALA</v>
      </c>
    </row>
    <row r="232" spans="1:7" x14ac:dyDescent="0.3">
      <c r="A232" s="13" t="s">
        <v>181</v>
      </c>
      <c r="B232" s="12" t="s">
        <v>180</v>
      </c>
      <c r="C232" s="12">
        <v>0</v>
      </c>
      <c r="D232" s="14">
        <v>6540.5640000000003</v>
      </c>
      <c r="E232" s="14">
        <v>5542.8959999999997</v>
      </c>
      <c r="F232" s="14"/>
      <c r="G232" s="12" t="str">
        <f>VLOOKUP(TRIM($A232),principal!$G:$G,1,0)</f>
        <v>GT51-ALC</v>
      </c>
    </row>
    <row r="233" spans="1:7" x14ac:dyDescent="0.3">
      <c r="A233" s="13" t="s">
        <v>183</v>
      </c>
      <c r="B233" s="12" t="s">
        <v>182</v>
      </c>
      <c r="C233" s="12">
        <v>0</v>
      </c>
      <c r="D233" s="14">
        <v>6540.5640000000003</v>
      </c>
      <c r="E233" s="14">
        <v>5542.8959999999997</v>
      </c>
      <c r="F233" s="14"/>
      <c r="G233" s="12" t="str">
        <f>VLOOKUP(TRIM($A233),principal!$G:$G,1,0)</f>
        <v>GT51-ALM</v>
      </c>
    </row>
    <row r="234" spans="1:7" x14ac:dyDescent="0.3">
      <c r="A234" s="13" t="s">
        <v>664</v>
      </c>
      <c r="B234" s="12" t="s">
        <v>663</v>
      </c>
      <c r="C234" s="12">
        <v>15</v>
      </c>
      <c r="D234" s="14">
        <v>17239.928</v>
      </c>
      <c r="E234" s="14">
        <v>14610.116</v>
      </c>
      <c r="F234" s="14"/>
      <c r="G234" s="12" t="str">
        <f>VLOOKUP(TRIM($A234),principal!$G:$G,1,0)</f>
        <v>G-WP100S</v>
      </c>
    </row>
    <row r="235" spans="1:7" x14ac:dyDescent="0.3">
      <c r="A235" s="13" t="s">
        <v>838</v>
      </c>
      <c r="B235" s="12" t="s">
        <v>837</v>
      </c>
      <c r="C235" s="12">
        <v>180</v>
      </c>
      <c r="D235" s="14">
        <v>25839.616000000002</v>
      </c>
      <c r="E235" s="14">
        <v>21897.932000000001</v>
      </c>
      <c r="F235" s="14"/>
      <c r="G235" s="12" t="str">
        <f>VLOOKUP(TRIM($A235),principal!$G:$G,1,0)</f>
        <v>GXK7</v>
      </c>
    </row>
    <row r="236" spans="1:7" x14ac:dyDescent="0.3">
      <c r="A236" s="13" t="s">
        <v>762</v>
      </c>
      <c r="B236" s="12" t="s">
        <v>761</v>
      </c>
      <c r="C236" s="12">
        <v>360</v>
      </c>
      <c r="D236" s="14">
        <v>65211.167999999998</v>
      </c>
      <c r="E236" s="14">
        <v>55263.792000000001</v>
      </c>
      <c r="F236" s="14"/>
      <c r="G236" s="12" t="str">
        <f>VLOOKUP(TRIM($A236),principal!$G:$G,1,0)</f>
        <v>H30</v>
      </c>
    </row>
    <row r="237" spans="1:7" x14ac:dyDescent="0.3">
      <c r="A237" s="13" t="s">
        <v>277</v>
      </c>
      <c r="B237" s="12" t="s">
        <v>276</v>
      </c>
      <c r="C237" s="12">
        <v>180</v>
      </c>
      <c r="D237" s="14">
        <v>108503.24</v>
      </c>
      <c r="E237" s="14">
        <v>91951.808000000005</v>
      </c>
      <c r="F237" s="14"/>
      <c r="G237" s="12" t="str">
        <f>VLOOKUP(TRIM($A237),principal!$G:$G,1,0)</f>
        <v>H-302</v>
      </c>
    </row>
    <row r="238" spans="1:7" x14ac:dyDescent="0.3">
      <c r="A238" s="13" t="s">
        <v>499</v>
      </c>
      <c r="B238" s="12" t="s">
        <v>498</v>
      </c>
      <c r="C238" s="12">
        <v>720</v>
      </c>
      <c r="D238" s="14">
        <v>118627.03200000001</v>
      </c>
      <c r="E238" s="14">
        <v>100531.368</v>
      </c>
      <c r="F238" s="14"/>
      <c r="G238" s="12" t="str">
        <f>VLOOKUP(TRIM($A238),principal!$G:$G,1,0)</f>
        <v>H510M-B</v>
      </c>
    </row>
    <row r="239" spans="1:7" x14ac:dyDescent="0.3">
      <c r="A239" s="13" t="s">
        <v>501</v>
      </c>
      <c r="B239" s="12" t="s">
        <v>500</v>
      </c>
      <c r="C239" s="12">
        <v>1080</v>
      </c>
      <c r="D239" s="14">
        <v>121015.16</v>
      </c>
      <c r="E239" s="14">
        <v>102555.268</v>
      </c>
      <c r="F239" s="14"/>
      <c r="G239" s="12" t="str">
        <f>VLOOKUP(TRIM($A239),principal!$G:$G,1,0)</f>
        <v>H510MR</v>
      </c>
    </row>
    <row r="240" spans="1:7" x14ac:dyDescent="0.3">
      <c r="A240" s="13" t="s">
        <v>459</v>
      </c>
      <c r="B240" s="12" t="s">
        <v>458</v>
      </c>
      <c r="C240" s="12">
        <v>15</v>
      </c>
      <c r="D240" s="14">
        <v>13859.46</v>
      </c>
      <c r="E240" s="14">
        <v>11745.28</v>
      </c>
      <c r="F240" s="14"/>
      <c r="G240" s="12" t="str">
        <f>VLOOKUP(TRIM($A240),principal!$G:$G,1,0)</f>
        <v>HALYXHUB</v>
      </c>
    </row>
    <row r="241" spans="1:7" x14ac:dyDescent="0.3">
      <c r="A241" s="13" t="s">
        <v>544</v>
      </c>
      <c r="B241" s="12" t="s">
        <v>543</v>
      </c>
      <c r="C241" s="12">
        <v>180</v>
      </c>
      <c r="D241" s="14">
        <v>30244.54</v>
      </c>
      <c r="E241" s="14">
        <v>25630.936000000002</v>
      </c>
      <c r="F241" s="14"/>
      <c r="G241" s="12" t="str">
        <f>VLOOKUP(TRIM($A241),principal!$G:$G,1,0)</f>
        <v>HIKDDR3_S4</v>
      </c>
    </row>
    <row r="242" spans="1:7" x14ac:dyDescent="0.3">
      <c r="A242" s="13" t="s">
        <v>515</v>
      </c>
      <c r="B242" s="12" t="s">
        <v>514</v>
      </c>
      <c r="C242" s="12">
        <v>180</v>
      </c>
      <c r="D242" s="14">
        <v>212247.54</v>
      </c>
      <c r="E242" s="14">
        <v>179870.764</v>
      </c>
      <c r="F242" s="14"/>
      <c r="G242" s="12" t="str">
        <f>VLOOKUP(TRIM($A242),principal!$G:$G,1,0)</f>
        <v>HIKSEMI16D</v>
      </c>
    </row>
    <row r="243" spans="1:7" x14ac:dyDescent="0.3">
      <c r="A243" s="13" t="s">
        <v>371</v>
      </c>
      <c r="B243" s="12" t="s">
        <v>370</v>
      </c>
      <c r="C243" s="12">
        <v>360</v>
      </c>
      <c r="D243" s="14">
        <v>74406.703999999998</v>
      </c>
      <c r="E243" s="14">
        <v>63056.436000000002</v>
      </c>
      <c r="F243" s="14"/>
      <c r="G243" s="12" t="str">
        <f>VLOOKUP(TRIM($A243),principal!$G:$G,1,0)</f>
        <v>HIKSEMI256</v>
      </c>
    </row>
    <row r="244" spans="1:7" x14ac:dyDescent="0.3">
      <c r="A244" s="13" t="s">
        <v>511</v>
      </c>
      <c r="B244" s="12" t="s">
        <v>510</v>
      </c>
      <c r="C244" s="12">
        <v>180</v>
      </c>
      <c r="D244" s="14">
        <v>110023.94</v>
      </c>
      <c r="E244" s="14">
        <v>93240.592000000004</v>
      </c>
      <c r="F244" s="14"/>
      <c r="G244" s="12" t="str">
        <f>VLOOKUP(TRIM($A244),principal!$G:$G,1,0)</f>
        <v>HIKSI8D32</v>
      </c>
    </row>
    <row r="245" spans="1:7" x14ac:dyDescent="0.3">
      <c r="A245" s="13" t="s">
        <v>708</v>
      </c>
      <c r="B245" s="12" t="s">
        <v>707</v>
      </c>
      <c r="C245" s="12">
        <v>180</v>
      </c>
      <c r="D245" s="14">
        <v>10289.108</v>
      </c>
      <c r="E245" s="14">
        <v>8719.5679999999993</v>
      </c>
      <c r="F245" s="14"/>
      <c r="G245" s="12" t="str">
        <f>VLOOKUP(TRIM($A245),principal!$G:$G,1,0)</f>
        <v>HIKSM210S</v>
      </c>
    </row>
    <row r="246" spans="1:7" x14ac:dyDescent="0.3">
      <c r="A246" s="13" t="s">
        <v>363</v>
      </c>
      <c r="B246" s="12" t="s">
        <v>362</v>
      </c>
      <c r="C246" s="12">
        <v>360</v>
      </c>
      <c r="D246" s="14">
        <v>40249.932000000001</v>
      </c>
      <c r="E246" s="14">
        <v>34110.152000000002</v>
      </c>
      <c r="F246" s="14"/>
      <c r="G246" s="12" t="str">
        <f>VLOOKUP(TRIM($A246),principal!$G:$G,1,0)</f>
        <v>HIKSPCI128</v>
      </c>
    </row>
    <row r="247" spans="1:7" x14ac:dyDescent="0.3">
      <c r="A247" s="13" t="s">
        <v>1000</v>
      </c>
      <c r="B247" s="12" t="s">
        <v>999</v>
      </c>
      <c r="C247" s="12">
        <v>360</v>
      </c>
      <c r="D247" s="14">
        <v>293631.26</v>
      </c>
      <c r="E247" s="14">
        <v>248839.948</v>
      </c>
      <c r="F247" s="14"/>
      <c r="G247" s="12" t="str">
        <f>VLOOKUP(TRIM($A247),principal!$G:$G,1,0)</f>
        <v>HIKV2000</v>
      </c>
    </row>
    <row r="248" spans="1:7" x14ac:dyDescent="0.3">
      <c r="A248" s="13" t="s">
        <v>564</v>
      </c>
      <c r="B248" s="12" t="s">
        <v>563</v>
      </c>
      <c r="C248" s="12">
        <v>365</v>
      </c>
      <c r="D248" s="14">
        <v>184787.62</v>
      </c>
      <c r="E248" s="14">
        <v>156599.68799999999</v>
      </c>
      <c r="F248" s="14"/>
      <c r="G248" s="12" t="str">
        <f>VLOOKUP(TRIM($A248),principal!$G:$G,1,0)</f>
        <v>HIKVISION22</v>
      </c>
    </row>
    <row r="249" spans="1:7" x14ac:dyDescent="0.3">
      <c r="A249" s="13" t="s">
        <v>554</v>
      </c>
      <c r="B249" s="12" t="s">
        <v>553</v>
      </c>
      <c r="C249" s="12">
        <v>180</v>
      </c>
      <c r="D249" s="14">
        <v>205931.04800000001</v>
      </c>
      <c r="E249" s="14">
        <v>174517.9</v>
      </c>
      <c r="F249" s="14"/>
      <c r="G249" s="12" t="str">
        <f>VLOOKUP(TRIM($A249),principal!$G:$G,1,0)</f>
        <v>HIKVISION316</v>
      </c>
    </row>
    <row r="250" spans="1:7" x14ac:dyDescent="0.3">
      <c r="A250" s="13" t="s">
        <v>651</v>
      </c>
      <c r="B250" s="12" t="s">
        <v>650</v>
      </c>
      <c r="C250" s="12">
        <v>360</v>
      </c>
      <c r="D250" s="14">
        <v>744307.39199999999</v>
      </c>
      <c r="E250" s="14">
        <v>664560.25600000005</v>
      </c>
      <c r="F250" s="14"/>
      <c r="G250" s="12" t="str">
        <f>VLOOKUP(TRIM($A250),principal!$G:$G,1,0)</f>
        <v>HP255I3</v>
      </c>
    </row>
    <row r="251" spans="1:7" x14ac:dyDescent="0.3">
      <c r="A251" s="13" t="s">
        <v>659</v>
      </c>
      <c r="B251" s="12" t="s">
        <v>658</v>
      </c>
      <c r="C251" s="12">
        <v>360</v>
      </c>
      <c r="D251" s="14">
        <v>1124331.432</v>
      </c>
      <c r="E251" s="14">
        <v>1003867.424</v>
      </c>
      <c r="F251" s="14"/>
      <c r="G251" s="12" t="str">
        <f>VLOOKUP(TRIM($A251),principal!$G:$G,1,0)</f>
        <v>HP255I5</v>
      </c>
    </row>
    <row r="252" spans="1:7" x14ac:dyDescent="0.3">
      <c r="A252" s="13" t="s">
        <v>655</v>
      </c>
      <c r="B252" s="12" t="s">
        <v>654</v>
      </c>
      <c r="C252" s="12">
        <v>360</v>
      </c>
      <c r="D252" s="14">
        <v>971422.42</v>
      </c>
      <c r="E252" s="14">
        <v>867341.42</v>
      </c>
      <c r="F252" s="14"/>
      <c r="G252" s="12" t="str">
        <f>VLOOKUP(TRIM($A252),principal!$G:$G,1,0)</f>
        <v>HP255R3U16</v>
      </c>
    </row>
    <row r="253" spans="1:7" x14ac:dyDescent="0.3">
      <c r="A253" s="13" t="s">
        <v>653</v>
      </c>
      <c r="B253" s="12" t="s">
        <v>652</v>
      </c>
      <c r="C253" s="12">
        <v>360</v>
      </c>
      <c r="D253" s="14">
        <v>805021.28399999999</v>
      </c>
      <c r="E253" s="14">
        <v>718769.10400000005</v>
      </c>
      <c r="F253" s="14"/>
      <c r="G253" s="12" t="str">
        <f>VLOOKUP(TRIM($A253),principal!$G:$G,1,0)</f>
        <v>HP255R3U8</v>
      </c>
    </row>
    <row r="254" spans="1:7" x14ac:dyDescent="0.3">
      <c r="A254" s="13" t="s">
        <v>657</v>
      </c>
      <c r="B254" s="12" t="s">
        <v>656</v>
      </c>
      <c r="C254" s="12">
        <v>360</v>
      </c>
      <c r="D254" s="14">
        <v>946911.99199999997</v>
      </c>
      <c r="E254" s="14">
        <v>845457.10400000005</v>
      </c>
      <c r="F254" s="14"/>
      <c r="G254" s="12" t="str">
        <f>VLOOKUP(TRIM($A254),principal!$G:$G,1,0)</f>
        <v>HP255R5U8</v>
      </c>
    </row>
    <row r="255" spans="1:7" x14ac:dyDescent="0.3">
      <c r="A255" s="13" t="s">
        <v>95</v>
      </c>
      <c r="B255" s="12" t="s">
        <v>94</v>
      </c>
      <c r="C255" s="12">
        <v>15</v>
      </c>
      <c r="D255" s="14">
        <v>37146.076000000001</v>
      </c>
      <c r="E255" s="14">
        <v>31479.748</v>
      </c>
      <c r="F255" s="14"/>
      <c r="G255" s="12" t="str">
        <f>VLOOKUP(TRIM($A255),principal!$G:$G,1,0)</f>
        <v>HPFI195V350</v>
      </c>
    </row>
    <row r="256" spans="1:7" x14ac:dyDescent="0.3">
      <c r="A256" s="13" t="s">
        <v>19</v>
      </c>
      <c r="B256" s="12" t="s">
        <v>18</v>
      </c>
      <c r="C256" s="12">
        <v>15</v>
      </c>
      <c r="D256" s="14">
        <v>21502.328000000001</v>
      </c>
      <c r="E256" s="14">
        <v>18222.351999999999</v>
      </c>
      <c r="F256" s="14"/>
      <c r="G256" s="12" t="str">
        <f>VLOOKUP(TRIM($A256),principal!$G:$G,1,0)</f>
        <v>HS-100U</v>
      </c>
    </row>
    <row r="257" spans="1:7" x14ac:dyDescent="0.3">
      <c r="A257" s="13" t="s">
        <v>22</v>
      </c>
      <c r="B257" s="12" t="s">
        <v>21</v>
      </c>
      <c r="C257" s="12">
        <v>30</v>
      </c>
      <c r="D257" s="14">
        <v>39014.724000000002</v>
      </c>
      <c r="E257" s="14">
        <v>33063.347999999998</v>
      </c>
      <c r="F257" s="14"/>
      <c r="G257" s="12" t="str">
        <f>VLOOKUP(TRIM($A257),principal!$G:$G,1,0)</f>
        <v>HS-810BT</v>
      </c>
    </row>
    <row r="258" spans="1:7" ht="28.8" x14ac:dyDescent="0.3">
      <c r="A258" s="13" t="s">
        <v>20</v>
      </c>
      <c r="B258" s="12" t="s">
        <v>1881</v>
      </c>
      <c r="C258" s="12">
        <v>30</v>
      </c>
      <c r="D258" s="14">
        <v>38425.24</v>
      </c>
      <c r="E258" s="14">
        <v>32563.7</v>
      </c>
      <c r="F258" s="14"/>
      <c r="G258" s="12" t="str">
        <f>VLOOKUP(TRIM($A258),principal!$G:$G,1,0)</f>
        <v>HS-GX580U</v>
      </c>
    </row>
    <row r="259" spans="1:7" x14ac:dyDescent="0.3">
      <c r="A259" s="13" t="s">
        <v>23</v>
      </c>
      <c r="B259" s="12" t="s">
        <v>1882</v>
      </c>
      <c r="C259" s="12">
        <v>15</v>
      </c>
      <c r="D259" s="14">
        <v>14766.108</v>
      </c>
      <c r="E259" s="14">
        <v>12513.696</v>
      </c>
      <c r="F259" s="14"/>
      <c r="G259" s="12" t="str">
        <f>VLOOKUP(TRIM($A259),principal!$G:$G,1,0)</f>
        <v>HSM300</v>
      </c>
    </row>
    <row r="260" spans="1:7" x14ac:dyDescent="0.3">
      <c r="A260" s="13" t="s">
        <v>526</v>
      </c>
      <c r="B260" s="12" t="s">
        <v>1919</v>
      </c>
      <c r="C260" s="12">
        <v>180</v>
      </c>
      <c r="D260" s="14">
        <v>328866.95199999999</v>
      </c>
      <c r="E260" s="14">
        <v>278700.87199999997</v>
      </c>
      <c r="F260" s="14"/>
      <c r="G260" s="12" t="str">
        <f>VLOOKUP(TRIM($A260),principal!$G:$G,1,0)</f>
        <v>HX16C5600FURY</v>
      </c>
    </row>
    <row r="261" spans="1:7" x14ac:dyDescent="0.3">
      <c r="A261" s="13" t="s">
        <v>457</v>
      </c>
      <c r="B261" s="12" t="s">
        <v>456</v>
      </c>
      <c r="C261" s="12">
        <v>180</v>
      </c>
      <c r="D261" s="14">
        <v>51237.451999999997</v>
      </c>
      <c r="E261" s="14">
        <v>43421.572</v>
      </c>
      <c r="F261" s="14"/>
      <c r="G261" s="12" t="str">
        <f>VLOOKUP(TRIM($A261),principal!$G:$G,1,0)</f>
        <v>IHAS122</v>
      </c>
    </row>
    <row r="262" spans="1:7" x14ac:dyDescent="0.3">
      <c r="A262" s="13" t="s">
        <v>938</v>
      </c>
      <c r="B262" s="12" t="s">
        <v>1937</v>
      </c>
      <c r="C262" s="12">
        <v>30</v>
      </c>
      <c r="D262" s="14">
        <v>9310.68</v>
      </c>
      <c r="E262" s="14">
        <v>7890.4719999999998</v>
      </c>
      <c r="F262" s="14"/>
      <c r="G262" s="12" t="str">
        <f>VLOOKUP(TRIM($A262),principal!$G:$G,1,0)</f>
        <v>II0P278A</v>
      </c>
    </row>
    <row r="263" spans="1:7" x14ac:dyDescent="0.3">
      <c r="A263" s="13" t="s">
        <v>936</v>
      </c>
      <c r="B263" s="12" t="s">
        <v>935</v>
      </c>
      <c r="C263" s="12">
        <v>30</v>
      </c>
      <c r="D263" s="14">
        <v>10199.124</v>
      </c>
      <c r="E263" s="14">
        <v>8643.348</v>
      </c>
      <c r="F263" s="14"/>
      <c r="G263" s="12" t="str">
        <f>VLOOKUP(TRIM($A263),principal!$G:$G,1,0)</f>
        <v>II0P279A</v>
      </c>
    </row>
    <row r="264" spans="1:7" x14ac:dyDescent="0.3">
      <c r="A264" s="13" t="s">
        <v>920</v>
      </c>
      <c r="B264" s="12" t="s">
        <v>919</v>
      </c>
      <c r="C264" s="12">
        <v>30</v>
      </c>
      <c r="D264" s="14">
        <v>8820.7999999999993</v>
      </c>
      <c r="E264" s="14">
        <v>7475.1840000000002</v>
      </c>
      <c r="F264" s="14"/>
      <c r="G264" s="12" t="str">
        <f>VLOOKUP(TRIM($A264),principal!$G:$G,1,0)</f>
        <v>IIPE2612GL</v>
      </c>
    </row>
    <row r="265" spans="1:7" x14ac:dyDescent="0.3">
      <c r="A265" s="13" t="s">
        <v>465</v>
      </c>
      <c r="B265" s="12" t="s">
        <v>464</v>
      </c>
      <c r="C265" s="12">
        <v>360</v>
      </c>
      <c r="D265" s="14">
        <v>153424.348</v>
      </c>
      <c r="E265" s="14">
        <v>130020.664</v>
      </c>
      <c r="F265" s="14"/>
      <c r="G265" s="12" t="str">
        <f>VLOOKUP(TRIM($A265),principal!$G:$G,1,0)</f>
        <v>IMPRETERWIFI</v>
      </c>
    </row>
    <row r="266" spans="1:7" x14ac:dyDescent="0.3">
      <c r="A266" s="13" t="s">
        <v>201</v>
      </c>
      <c r="B266" s="12" t="s">
        <v>200</v>
      </c>
      <c r="C266" s="12">
        <v>0</v>
      </c>
      <c r="D266" s="14">
        <v>2697.0039999999999</v>
      </c>
      <c r="E266" s="14">
        <v>2285.712</v>
      </c>
      <c r="F266" s="14"/>
      <c r="G266" s="12" t="str">
        <f>VLOOKUP(TRIM($A266),principal!$G:$G,1,0)</f>
        <v>INKCARTET1115</v>
      </c>
    </row>
    <row r="267" spans="1:7" x14ac:dyDescent="0.3">
      <c r="A267" s="13" t="s">
        <v>203</v>
      </c>
      <c r="B267" s="12" t="s">
        <v>202</v>
      </c>
      <c r="C267" s="12">
        <v>0</v>
      </c>
      <c r="D267" s="14">
        <v>2697.0039999999999</v>
      </c>
      <c r="E267" s="14">
        <v>2285.712</v>
      </c>
      <c r="F267" s="14"/>
      <c r="G267" s="12" t="str">
        <f>VLOOKUP(TRIM($A267),principal!$G:$G,1,0)</f>
        <v>INKCARTET1171</v>
      </c>
    </row>
    <row r="268" spans="1:7" x14ac:dyDescent="0.3">
      <c r="A268" s="13" t="s">
        <v>205</v>
      </c>
      <c r="B268" s="12" t="s">
        <v>204</v>
      </c>
      <c r="C268" s="12">
        <v>0</v>
      </c>
      <c r="D268" s="14">
        <v>3095.2719999999999</v>
      </c>
      <c r="E268" s="14">
        <v>2623.152</v>
      </c>
      <c r="F268" s="14"/>
      <c r="G268" s="12" t="str">
        <f>VLOOKUP(TRIM($A268),principal!$G:$G,1,0)</f>
        <v>INKCARTET133C</v>
      </c>
    </row>
    <row r="269" spans="1:7" x14ac:dyDescent="0.3">
      <c r="A269" s="13" t="s">
        <v>209</v>
      </c>
      <c r="B269" s="12" t="s">
        <v>208</v>
      </c>
      <c r="C269" s="12">
        <v>0</v>
      </c>
      <c r="D269" s="14">
        <v>3087.576</v>
      </c>
      <c r="E269" s="14">
        <v>2616.64</v>
      </c>
      <c r="F269" s="14"/>
      <c r="G269" s="12" t="str">
        <f>VLOOKUP(TRIM($A269),principal!$G:$G,1,0)</f>
        <v>INKCARTET133M</v>
      </c>
    </row>
    <row r="270" spans="1:7" x14ac:dyDescent="0.3">
      <c r="A270" s="13" t="s">
        <v>207</v>
      </c>
      <c r="B270" s="12" t="s">
        <v>206</v>
      </c>
      <c r="C270" s="12">
        <v>0</v>
      </c>
      <c r="D270" s="14">
        <v>3087.576</v>
      </c>
      <c r="E270" s="14">
        <v>2616.64</v>
      </c>
      <c r="F270" s="14"/>
      <c r="G270" s="12" t="str">
        <f>VLOOKUP(TRIM($A270),principal!$G:$G,1,0)</f>
        <v>INKCARTET133Y</v>
      </c>
    </row>
    <row r="271" spans="1:7" x14ac:dyDescent="0.3">
      <c r="A271" s="13" t="s">
        <v>163</v>
      </c>
      <c r="B271" s="12" t="s">
        <v>162</v>
      </c>
      <c r="C271" s="12">
        <v>0</v>
      </c>
      <c r="D271" s="14">
        <v>5101.7079999999996</v>
      </c>
      <c r="E271" s="14">
        <v>4323.3760000000002</v>
      </c>
      <c r="F271" s="14"/>
      <c r="G271" s="12" t="str">
        <f>VLOOKUP(TRIM($A271),principal!$G:$G,1,0)</f>
        <v>INKDYEN250</v>
      </c>
    </row>
    <row r="272" spans="1:7" x14ac:dyDescent="0.3">
      <c r="A272" s="13" t="s">
        <v>211</v>
      </c>
      <c r="B272" s="12" t="s">
        <v>210</v>
      </c>
      <c r="C272" s="12">
        <v>0</v>
      </c>
      <c r="D272" s="14">
        <v>3170.0120000000002</v>
      </c>
      <c r="E272" s="14">
        <v>2306.2840000000001</v>
      </c>
      <c r="F272" s="14"/>
      <c r="G272" s="12" t="str">
        <f>VLOOKUP(TRIM($A272),principal!$G:$G,1,0)</f>
        <v>INKGLO135</v>
      </c>
    </row>
    <row r="273" spans="1:7" x14ac:dyDescent="0.3">
      <c r="A273" s="13" t="s">
        <v>816</v>
      </c>
      <c r="B273" s="12" t="s">
        <v>815</v>
      </c>
      <c r="C273" s="12">
        <v>10</v>
      </c>
      <c r="D273" s="14">
        <v>202629.76000000001</v>
      </c>
      <c r="E273" s="14">
        <v>171720.10800000001</v>
      </c>
      <c r="F273" s="14"/>
      <c r="G273" s="12" t="str">
        <f>VLOOKUP(TRIM($A273),principal!$G:$G,1,0)</f>
        <v>IT-DBGS</v>
      </c>
    </row>
    <row r="274" spans="1:7" x14ac:dyDescent="0.3">
      <c r="A274" s="13" t="s">
        <v>804</v>
      </c>
      <c r="B274" s="12" t="s">
        <v>803</v>
      </c>
      <c r="C274" s="12">
        <v>10</v>
      </c>
      <c r="D274" s="14">
        <v>25427.732</v>
      </c>
      <c r="E274" s="14">
        <v>21548.948</v>
      </c>
      <c r="F274" s="14"/>
      <c r="G274" s="12" t="str">
        <f>VLOOKUP(TRIM($A274),principal!$G:$G,1,0)</f>
        <v>IT-F22</v>
      </c>
    </row>
    <row r="275" spans="1:7" x14ac:dyDescent="0.3">
      <c r="A275" s="13" t="s">
        <v>806</v>
      </c>
      <c r="B275" s="12" t="s">
        <v>805</v>
      </c>
      <c r="C275" s="12">
        <v>10</v>
      </c>
      <c r="D275" s="14">
        <v>30203.248</v>
      </c>
      <c r="E275" s="14">
        <v>25596.008000000002</v>
      </c>
      <c r="F275" s="14"/>
      <c r="G275" s="12" t="str">
        <f>VLOOKUP(TRIM($A275),principal!$G:$G,1,0)</f>
        <v>IT-TS215V</v>
      </c>
    </row>
    <row r="276" spans="1:7" x14ac:dyDescent="0.3">
      <c r="A276" s="13" t="s">
        <v>810</v>
      </c>
      <c r="B276" s="12" t="s">
        <v>809</v>
      </c>
      <c r="C276" s="12">
        <v>10</v>
      </c>
      <c r="D276" s="14">
        <v>87509.588000000003</v>
      </c>
      <c r="E276" s="14">
        <v>74160.58</v>
      </c>
      <c r="F276" s="14"/>
      <c r="G276" s="12" t="str">
        <f>VLOOKUP(TRIM($A276),principal!$G:$G,1,0)</f>
        <v>IT-TSE44</v>
      </c>
    </row>
    <row r="277" spans="1:7" x14ac:dyDescent="0.3">
      <c r="A277" s="13" t="s">
        <v>812</v>
      </c>
      <c r="B277" s="12" t="s">
        <v>811</v>
      </c>
      <c r="C277" s="12">
        <v>10</v>
      </c>
      <c r="D277" s="14">
        <v>87509.588000000003</v>
      </c>
      <c r="E277" s="14">
        <v>74160.58</v>
      </c>
      <c r="F277" s="14"/>
      <c r="G277" s="12" t="str">
        <f>VLOOKUP(TRIM($A277),principal!$G:$G,1,0)</f>
        <v>IT-TSSE42</v>
      </c>
    </row>
    <row r="278" spans="1:7" x14ac:dyDescent="0.3">
      <c r="A278" s="13" t="s">
        <v>477</v>
      </c>
      <c r="B278" s="12" t="s">
        <v>476</v>
      </c>
      <c r="C278" s="12">
        <v>15</v>
      </c>
      <c r="D278" s="14">
        <v>2515.4079999999999</v>
      </c>
      <c r="E278" s="14">
        <v>2131.7919999999999</v>
      </c>
      <c r="F278" s="14"/>
      <c r="G278" s="12" t="str">
        <f>VLOOKUP(TRIM($A278),principal!$G:$G,1,0)</f>
        <v>JACK01</v>
      </c>
    </row>
    <row r="279" spans="1:7" x14ac:dyDescent="0.3">
      <c r="A279" s="13" t="s">
        <v>479</v>
      </c>
      <c r="B279" s="12" t="s">
        <v>478</v>
      </c>
      <c r="C279" s="12">
        <v>15</v>
      </c>
      <c r="D279" s="14">
        <v>13905.191999999999</v>
      </c>
      <c r="E279" s="14">
        <v>11784.056</v>
      </c>
      <c r="F279" s="14"/>
      <c r="G279" s="12" t="str">
        <f>VLOOKUP(TRIM($A279),principal!$G:$G,1,0)</f>
        <v>JACK02</v>
      </c>
    </row>
    <row r="280" spans="1:7" x14ac:dyDescent="0.3">
      <c r="A280" s="13" t="s">
        <v>684</v>
      </c>
      <c r="B280" s="12" t="s">
        <v>683</v>
      </c>
      <c r="C280" s="12">
        <v>360</v>
      </c>
      <c r="D280" s="14">
        <v>73618.751999999993</v>
      </c>
      <c r="E280" s="14">
        <v>62388.807999999997</v>
      </c>
      <c r="F280" s="14"/>
      <c r="G280" s="12" t="str">
        <f>VLOOKUP(TRIM($A280),principal!$G:$G,1,0)</f>
        <v>JAVVRGB20</v>
      </c>
    </row>
    <row r="281" spans="1:7" x14ac:dyDescent="0.3">
      <c r="A281" s="13" t="s">
        <v>832</v>
      </c>
      <c r="B281" s="12" t="s">
        <v>831</v>
      </c>
      <c r="C281" s="12">
        <v>15</v>
      </c>
      <c r="D281" s="14">
        <v>9287.74</v>
      </c>
      <c r="E281" s="14">
        <v>7870.9359999999997</v>
      </c>
      <c r="F281" s="14"/>
      <c r="G281" s="12" t="str">
        <f>VLOOKUP(TRIM($A281),principal!$G:$G,1,0)</f>
        <v>K103BKUSB</v>
      </c>
    </row>
    <row r="282" spans="1:7" x14ac:dyDescent="0.3">
      <c r="A282" s="13" t="s">
        <v>836</v>
      </c>
      <c r="B282" s="12" t="s">
        <v>835</v>
      </c>
      <c r="C282" s="12">
        <v>15</v>
      </c>
      <c r="D282" s="14">
        <v>15809.064</v>
      </c>
      <c r="E282" s="14">
        <v>13397.552</v>
      </c>
      <c r="F282" s="14"/>
      <c r="G282" s="12" t="str">
        <f>VLOOKUP(TRIM($A282),principal!$G:$G,1,0)</f>
        <v>K120</v>
      </c>
    </row>
    <row r="283" spans="1:7" x14ac:dyDescent="0.3">
      <c r="A283" s="13" t="s">
        <v>854</v>
      </c>
      <c r="B283" s="12" t="s">
        <v>853</v>
      </c>
      <c r="C283" s="12">
        <v>15</v>
      </c>
      <c r="D283" s="14">
        <v>33239.023999999998</v>
      </c>
      <c r="E283" s="14">
        <v>28168.691999999999</v>
      </c>
      <c r="F283" s="14"/>
      <c r="G283" s="12" t="str">
        <f>VLOOKUP(TRIM($A283),principal!$G:$G,1,0)</f>
        <v>KM8101</v>
      </c>
    </row>
    <row r="284" spans="1:7" x14ac:dyDescent="0.3">
      <c r="A284" s="13" t="s">
        <v>852</v>
      </c>
      <c r="B284" s="12" t="s">
        <v>851</v>
      </c>
      <c r="C284" s="12">
        <v>15</v>
      </c>
      <c r="D284" s="14">
        <v>20960.795999999998</v>
      </c>
      <c r="E284" s="14">
        <v>17763.403999999999</v>
      </c>
      <c r="F284" s="14"/>
      <c r="G284" s="12" t="str">
        <f>VLOOKUP(TRIM($A284),principal!$G:$G,1,0)</f>
        <v>KMG20BKCOMBO</v>
      </c>
    </row>
    <row r="285" spans="1:7" x14ac:dyDescent="0.3">
      <c r="A285" s="13" t="s">
        <v>513</v>
      </c>
      <c r="B285" s="12" t="s">
        <v>512</v>
      </c>
      <c r="C285" s="12">
        <v>360</v>
      </c>
      <c r="D285" s="14">
        <v>128359.364</v>
      </c>
      <c r="E285" s="14">
        <v>108779.11199999999</v>
      </c>
      <c r="F285" s="14"/>
      <c r="G285" s="12" t="str">
        <f>VLOOKUP(TRIM($A285),principal!$G:$G,1,0)</f>
        <v>KVR26NS8</v>
      </c>
    </row>
    <row r="286" spans="1:7" x14ac:dyDescent="0.3">
      <c r="A286" s="13" t="s">
        <v>614</v>
      </c>
      <c r="B286" s="12" t="s">
        <v>613</v>
      </c>
      <c r="C286" s="12">
        <v>360</v>
      </c>
      <c r="D286" s="14">
        <v>870982.07200000004</v>
      </c>
      <c r="E286" s="14">
        <v>777662.59600000002</v>
      </c>
      <c r="F286" s="14"/>
      <c r="G286" s="12" t="str">
        <f>VLOOKUP(TRIM($A286),principal!$G:$G,1,0)</f>
        <v>L15ABR8</v>
      </c>
    </row>
    <row r="287" spans="1:7" x14ac:dyDescent="0.3">
      <c r="A287" s="13" t="s">
        <v>598</v>
      </c>
      <c r="B287" s="12" t="s">
        <v>597</v>
      </c>
      <c r="C287" s="12">
        <v>360</v>
      </c>
      <c r="D287" s="14">
        <v>432140.16800000001</v>
      </c>
      <c r="E287" s="14">
        <v>366220.37599999999</v>
      </c>
      <c r="F287" s="14"/>
      <c r="G287" s="12" t="str">
        <f>VLOOKUP(TRIM($A287),principal!$G:$G,1,0)</f>
        <v>L3210</v>
      </c>
    </row>
    <row r="288" spans="1:7" x14ac:dyDescent="0.3">
      <c r="A288" s="13" t="s">
        <v>600</v>
      </c>
      <c r="B288" s="12" t="s">
        <v>599</v>
      </c>
      <c r="C288" s="12">
        <v>360</v>
      </c>
      <c r="D288" s="14">
        <v>508472.5</v>
      </c>
      <c r="E288" s="14">
        <v>430908.95600000001</v>
      </c>
      <c r="F288" s="14"/>
      <c r="G288" s="12" t="str">
        <f>VLOOKUP(TRIM($A288),principal!$G:$G,1,0)</f>
        <v>L3250</v>
      </c>
    </row>
    <row r="289" spans="1:7" x14ac:dyDescent="0.3">
      <c r="A289" s="13" t="s">
        <v>602</v>
      </c>
      <c r="B289" s="12" t="s">
        <v>601</v>
      </c>
      <c r="C289" s="12">
        <v>360</v>
      </c>
      <c r="D289" s="14">
        <v>783462.86399999994</v>
      </c>
      <c r="E289" s="14">
        <v>663951.53200000001</v>
      </c>
      <c r="F289" s="14"/>
      <c r="G289" s="12" t="str">
        <f>VLOOKUP(TRIM($A289),principal!$G:$G,1,0)</f>
        <v>L3560</v>
      </c>
    </row>
    <row r="290" spans="1:7" x14ac:dyDescent="0.3">
      <c r="A290" s="13" t="s">
        <v>634</v>
      </c>
      <c r="B290" s="12" t="s">
        <v>633</v>
      </c>
      <c r="C290" s="12">
        <v>720</v>
      </c>
      <c r="D290" s="14">
        <v>635137.11600000004</v>
      </c>
      <c r="E290" s="14">
        <v>567086.71600000001</v>
      </c>
      <c r="F290" s="14"/>
      <c r="G290" s="12" t="str">
        <f>VLOOKUP(TRIM($A290),principal!$G:$G,1,0)</f>
        <v>L5R5F14</v>
      </c>
    </row>
    <row r="291" spans="1:7" x14ac:dyDescent="0.3">
      <c r="A291" s="13" t="s">
        <v>636</v>
      </c>
      <c r="B291" s="12" t="s">
        <v>635</v>
      </c>
      <c r="C291" s="12">
        <v>720</v>
      </c>
      <c r="D291" s="14">
        <v>670189.73199999996</v>
      </c>
      <c r="E291" s="14">
        <v>598383.68400000001</v>
      </c>
      <c r="F291" s="14"/>
      <c r="G291" s="12" t="str">
        <f>VLOOKUP(TRIM($A291),principal!$G:$G,1,0)</f>
        <v>L5R5F15</v>
      </c>
    </row>
    <row r="292" spans="1:7" x14ac:dyDescent="0.3">
      <c r="A292" s="13" t="s">
        <v>638</v>
      </c>
      <c r="B292" s="12" t="s">
        <v>637</v>
      </c>
      <c r="C292" s="12">
        <v>720</v>
      </c>
      <c r="D292" s="14">
        <v>802463.99199999997</v>
      </c>
      <c r="E292" s="14">
        <v>716485.76</v>
      </c>
      <c r="F292" s="14"/>
      <c r="G292" s="12" t="str">
        <f>VLOOKUP(TRIM($A292),principal!$G:$G,1,0)</f>
        <v>L5R5F1516</v>
      </c>
    </row>
    <row r="293" spans="1:7" x14ac:dyDescent="0.3">
      <c r="A293" s="13" t="s">
        <v>109</v>
      </c>
      <c r="B293" s="12" t="s">
        <v>108</v>
      </c>
      <c r="C293" s="12">
        <v>15</v>
      </c>
      <c r="D293" s="14">
        <v>47278.748</v>
      </c>
      <c r="E293" s="14">
        <v>40066.707999999999</v>
      </c>
      <c r="F293" s="14"/>
      <c r="G293" s="12" t="str">
        <f>VLOOKUP(TRIM($A293),principal!$G:$G,1,0)</f>
        <v>LEN20SQUA</v>
      </c>
    </row>
    <row r="294" spans="1:7" x14ac:dyDescent="0.3">
      <c r="A294" s="13" t="s">
        <v>107</v>
      </c>
      <c r="B294" s="12" t="s">
        <v>106</v>
      </c>
      <c r="C294" s="12">
        <v>15</v>
      </c>
      <c r="D294" s="14">
        <v>52053.08</v>
      </c>
      <c r="E294" s="14">
        <v>44112.732000000004</v>
      </c>
      <c r="F294" s="14"/>
      <c r="G294" s="12" t="str">
        <f>VLOOKUP(TRIM($A294),principal!$G:$G,1,0)</f>
        <v>LEN20STC</v>
      </c>
    </row>
    <row r="295" spans="1:7" x14ac:dyDescent="0.3">
      <c r="A295" s="13" t="s">
        <v>111</v>
      </c>
      <c r="B295" s="12" t="s">
        <v>110</v>
      </c>
      <c r="C295" s="12">
        <v>15</v>
      </c>
      <c r="D295" s="14">
        <v>47278.748</v>
      </c>
      <c r="E295" s="14">
        <v>40066.707999999999</v>
      </c>
      <c r="F295" s="14"/>
      <c r="G295" s="12" t="str">
        <f>VLOOKUP(TRIM($A295),principal!$G:$G,1,0)</f>
        <v>LEN20V325A</v>
      </c>
    </row>
    <row r="296" spans="1:7" x14ac:dyDescent="0.3">
      <c r="A296" s="13" t="s">
        <v>113</v>
      </c>
      <c r="B296" s="12" t="s">
        <v>112</v>
      </c>
      <c r="C296" s="12">
        <v>15</v>
      </c>
      <c r="D296" s="14">
        <v>43230.652000000002</v>
      </c>
      <c r="E296" s="14">
        <v>36636.216</v>
      </c>
      <c r="F296" s="14"/>
      <c r="G296" s="12" t="str">
        <f>VLOOKUP(TRIM($A296),principal!$G:$G,1,0)</f>
        <v>LEN20V325U</v>
      </c>
    </row>
    <row r="297" spans="1:7" x14ac:dyDescent="0.3">
      <c r="A297" s="13" t="s">
        <v>117</v>
      </c>
      <c r="B297" s="12" t="s">
        <v>116</v>
      </c>
      <c r="C297" s="12">
        <v>90</v>
      </c>
      <c r="D297" s="14">
        <v>34582.567999999999</v>
      </c>
      <c r="E297" s="14">
        <v>29307.256000000001</v>
      </c>
      <c r="F297" s="14"/>
      <c r="G297" s="12" t="str">
        <f>VLOOKUP(TRIM($A297),principal!$G:$G,1,0)</f>
        <v>LG12V3A</v>
      </c>
    </row>
    <row r="298" spans="1:7" x14ac:dyDescent="0.3">
      <c r="A298" s="13" t="s">
        <v>588</v>
      </c>
      <c r="B298" s="12" t="s">
        <v>587</v>
      </c>
      <c r="C298" s="12">
        <v>15</v>
      </c>
      <c r="D298" s="14">
        <v>13857.388000000001</v>
      </c>
      <c r="E298" s="14">
        <v>11743.504000000001</v>
      </c>
      <c r="F298" s="14"/>
      <c r="G298" s="12" t="str">
        <f>VLOOKUP(TRIM($A298),principal!$G:$G,1,0)</f>
        <v>LOGIM170</v>
      </c>
    </row>
    <row r="299" spans="1:7" x14ac:dyDescent="0.3">
      <c r="A299" s="13" t="s">
        <v>612</v>
      </c>
      <c r="B299" s="12" t="s">
        <v>611</v>
      </c>
      <c r="C299" s="12">
        <v>360</v>
      </c>
      <c r="D299" s="14">
        <v>893027.85600000003</v>
      </c>
      <c r="E299" s="14">
        <v>797346.3</v>
      </c>
      <c r="F299" s="14"/>
      <c r="G299" s="12" t="str">
        <f>VLOOKUP(TRIM($A299),principal!$G:$G,1,0)</f>
        <v>LR515AMN8</v>
      </c>
    </row>
    <row r="300" spans="1:7" x14ac:dyDescent="0.3">
      <c r="A300" s="13" t="s">
        <v>844</v>
      </c>
      <c r="B300" s="12" t="s">
        <v>843</v>
      </c>
      <c r="C300" s="12">
        <v>15</v>
      </c>
      <c r="D300" s="14">
        <v>24665.088</v>
      </c>
      <c r="E300" s="14">
        <v>20902.632000000001</v>
      </c>
      <c r="F300" s="14"/>
      <c r="G300" s="12" t="str">
        <f>VLOOKUP(TRIM($A300),principal!$G:$G,1,0)</f>
        <v>LUXEMATE110</v>
      </c>
    </row>
    <row r="301" spans="1:7" x14ac:dyDescent="0.3">
      <c r="A301" s="13" t="s">
        <v>618</v>
      </c>
      <c r="B301" s="12" t="s">
        <v>617</v>
      </c>
      <c r="C301" s="12">
        <v>360</v>
      </c>
      <c r="D301" s="14">
        <v>586415.96</v>
      </c>
      <c r="E301" s="14">
        <v>523585.66800000001</v>
      </c>
      <c r="F301" s="14"/>
      <c r="G301" s="12" t="str">
        <f>VLOOKUP(TRIM($A301),principal!$G:$G,1,0)</f>
        <v>M01360</v>
      </c>
    </row>
    <row r="302" spans="1:7" x14ac:dyDescent="0.3">
      <c r="A302" s="13" t="s">
        <v>467</v>
      </c>
      <c r="B302" s="12" t="s">
        <v>466</v>
      </c>
      <c r="C302" s="12">
        <v>360</v>
      </c>
      <c r="D302" s="14">
        <v>217932.96</v>
      </c>
      <c r="E302" s="14">
        <v>184688.90400000001</v>
      </c>
      <c r="F302" s="14"/>
      <c r="G302" s="12" t="str">
        <f>VLOOKUP(TRIM($A302),principal!$G:$G,1,0)</f>
        <v>M111A</v>
      </c>
    </row>
    <row r="303" spans="1:7" x14ac:dyDescent="0.3">
      <c r="A303" s="13" t="s">
        <v>710</v>
      </c>
      <c r="B303" s="12" t="s">
        <v>709</v>
      </c>
      <c r="C303" s="12">
        <v>180</v>
      </c>
      <c r="D303" s="14">
        <v>12475.512000000001</v>
      </c>
      <c r="E303" s="14">
        <v>10572.38</v>
      </c>
      <c r="F303" s="14"/>
      <c r="G303" s="12" t="str">
        <f>VLOOKUP(TRIM($A303),principal!$G:$G,1,0)</f>
        <v>M200R64</v>
      </c>
    </row>
    <row r="304" spans="1:7" x14ac:dyDescent="0.3">
      <c r="A304" s="13" t="s">
        <v>532</v>
      </c>
      <c r="B304" s="12" t="s">
        <v>531</v>
      </c>
      <c r="C304" s="12">
        <v>180</v>
      </c>
      <c r="D304" s="14">
        <v>11372.468000000001</v>
      </c>
      <c r="E304" s="14">
        <v>9637.6119999999992</v>
      </c>
      <c r="F304" s="14"/>
      <c r="G304" s="12" t="str">
        <f>VLOOKUP(TRIM($A304),principal!$G:$G,1,0)</f>
        <v>M32SAM84</v>
      </c>
    </row>
    <row r="305" spans="1:7" x14ac:dyDescent="0.3">
      <c r="A305" s="13" t="s">
        <v>9</v>
      </c>
      <c r="B305" s="12" t="s">
        <v>1876</v>
      </c>
      <c r="C305" s="12">
        <v>180</v>
      </c>
      <c r="D305" s="14">
        <v>6534.7920000000004</v>
      </c>
      <c r="E305" s="14">
        <v>5538.0119999999997</v>
      </c>
      <c r="F305" s="14"/>
      <c r="G305" s="12" t="str">
        <f>VLOOKUP(TRIM($A305),principal!$G:$G,1,0)</f>
        <v>MA530</v>
      </c>
    </row>
    <row r="306" spans="1:7" x14ac:dyDescent="0.3">
      <c r="A306" s="13" t="s">
        <v>483</v>
      </c>
      <c r="B306" s="12" t="s">
        <v>482</v>
      </c>
      <c r="C306" s="12">
        <v>0</v>
      </c>
      <c r="D306" s="14">
        <v>33448.887999999999</v>
      </c>
      <c r="E306" s="14">
        <v>28346.44</v>
      </c>
      <c r="F306" s="14"/>
      <c r="G306" s="12" t="str">
        <f>VLOOKUP(TRIM($A306),principal!$G:$G,1,0)</f>
        <v>MALECUERO</v>
      </c>
    </row>
    <row r="307" spans="1:7" x14ac:dyDescent="0.3">
      <c r="A307" s="13" t="s">
        <v>509</v>
      </c>
      <c r="B307" s="12" t="s">
        <v>508</v>
      </c>
      <c r="C307" s="12">
        <v>180</v>
      </c>
      <c r="D307" s="14">
        <v>57305.008000000002</v>
      </c>
      <c r="E307" s="14">
        <v>48563.536</v>
      </c>
      <c r="F307" s="14"/>
      <c r="G307" s="12" t="str">
        <f>VLOOKUP(TRIM($A307),principal!$G:$G,1,0)</f>
        <v>MARK81600</v>
      </c>
    </row>
    <row r="308" spans="1:7" x14ac:dyDescent="0.3">
      <c r="A308" s="13" t="s">
        <v>596</v>
      </c>
      <c r="B308" s="12" t="s">
        <v>595</v>
      </c>
      <c r="C308" s="12">
        <v>90</v>
      </c>
      <c r="D308" s="14">
        <v>37124.911999999997</v>
      </c>
      <c r="E308" s="14">
        <v>31461.84</v>
      </c>
      <c r="F308" s="14"/>
      <c r="G308" s="12" t="str">
        <f>VLOOKUP(TRIM($A308),principal!$G:$G,1,0)</f>
        <v>MASTERMOUSE</v>
      </c>
    </row>
    <row r="309" spans="1:7" x14ac:dyDescent="0.3">
      <c r="A309" s="13" t="s">
        <v>580</v>
      </c>
      <c r="B309" s="12" t="s">
        <v>579</v>
      </c>
      <c r="C309" s="12">
        <v>15</v>
      </c>
      <c r="D309" s="14">
        <v>10434.74</v>
      </c>
      <c r="E309" s="14">
        <v>8843</v>
      </c>
      <c r="F309" s="14"/>
      <c r="G309" s="12" t="str">
        <f>VLOOKUP(TRIM($A309),principal!$G:$G,1,0)</f>
        <v>MCNM227</v>
      </c>
    </row>
    <row r="310" spans="1:7" x14ac:dyDescent="0.3">
      <c r="A310" s="13" t="s">
        <v>578</v>
      </c>
      <c r="B310" s="12" t="s">
        <v>577</v>
      </c>
      <c r="C310" s="12">
        <v>15</v>
      </c>
      <c r="D310" s="14">
        <v>10434.74</v>
      </c>
      <c r="E310" s="14">
        <v>8843</v>
      </c>
      <c r="F310" s="14"/>
      <c r="G310" s="12" t="str">
        <f>VLOOKUP(TRIM($A310),principal!$G:$G,1,0)</f>
        <v>MCNM237</v>
      </c>
    </row>
    <row r="311" spans="1:7" x14ac:dyDescent="0.3">
      <c r="A311" s="13" t="s">
        <v>830</v>
      </c>
      <c r="B311" s="12" t="s">
        <v>829</v>
      </c>
      <c r="C311" s="12">
        <v>180</v>
      </c>
      <c r="D311" s="14">
        <v>105406.04399999999</v>
      </c>
      <c r="E311" s="14">
        <v>89327.176000000007</v>
      </c>
      <c r="F311" s="14"/>
      <c r="G311" s="12" t="str">
        <f>VLOOKUP(TRIM($A311),principal!$G:$G,1,0)</f>
        <v>MG715</v>
      </c>
    </row>
    <row r="312" spans="1:7" x14ac:dyDescent="0.3">
      <c r="A312" s="13" t="s">
        <v>558</v>
      </c>
      <c r="B312" s="12" t="s">
        <v>557</v>
      </c>
      <c r="C312" s="12">
        <v>180</v>
      </c>
      <c r="D312" s="14">
        <v>66434.683999999994</v>
      </c>
      <c r="E312" s="14">
        <v>56300.68</v>
      </c>
      <c r="F312" s="14"/>
      <c r="G312" s="12" t="str">
        <f>VLOOKUP(TRIM($A312),principal!$G:$G,1,0)</f>
        <v>MICROFONO</v>
      </c>
    </row>
    <row r="313" spans="1:7" x14ac:dyDescent="0.3">
      <c r="A313" s="13" t="s">
        <v>411</v>
      </c>
      <c r="B313" s="12" t="s">
        <v>410</v>
      </c>
      <c r="C313" s="12">
        <v>360</v>
      </c>
      <c r="D313" s="14">
        <v>51700.396000000001</v>
      </c>
      <c r="E313" s="14">
        <v>43813.919999999998</v>
      </c>
      <c r="F313" s="14"/>
      <c r="G313" s="12" t="str">
        <f>VLOOKUP(TRIM($A313),principal!$G:$G,1,0)</f>
        <v>MICROVOL2</v>
      </c>
    </row>
    <row r="314" spans="1:7" x14ac:dyDescent="0.3">
      <c r="A314" s="13" t="s">
        <v>942</v>
      </c>
      <c r="B314" s="12" t="s">
        <v>941</v>
      </c>
      <c r="C314" s="12">
        <v>30</v>
      </c>
      <c r="D314" s="14">
        <v>19865.892</v>
      </c>
      <c r="E314" s="14">
        <v>16835.592000000001</v>
      </c>
      <c r="F314" s="14"/>
      <c r="G314" s="12" t="str">
        <f>VLOOKUP(TRIM($A314),principal!$G:$G,1,0)</f>
        <v>MLTD101SCOMP</v>
      </c>
    </row>
    <row r="315" spans="1:7" x14ac:dyDescent="0.3">
      <c r="A315" s="13" t="s">
        <v>944</v>
      </c>
      <c r="B315" s="12" t="s">
        <v>943</v>
      </c>
      <c r="C315" s="12">
        <v>30</v>
      </c>
      <c r="D315" s="14">
        <v>31907.024000000001</v>
      </c>
      <c r="E315" s="14">
        <v>27039.748</v>
      </c>
      <c r="F315" s="14"/>
      <c r="G315" s="12" t="str">
        <f>VLOOKUP(TRIM($A315),principal!$G:$G,1,0)</f>
        <v>MLTD103</v>
      </c>
    </row>
    <row r="316" spans="1:7" x14ac:dyDescent="0.3">
      <c r="A316" s="13" t="s">
        <v>946</v>
      </c>
      <c r="B316" s="12" t="s">
        <v>945</v>
      </c>
      <c r="C316" s="12">
        <v>30</v>
      </c>
      <c r="D316" s="14">
        <v>22414.304</v>
      </c>
      <c r="E316" s="14">
        <v>18995.060000000001</v>
      </c>
      <c r="F316" s="14"/>
      <c r="G316" s="12" t="str">
        <f>VLOOKUP(TRIM($A316),principal!$G:$G,1,0)</f>
        <v>MLT-D104S</v>
      </c>
    </row>
    <row r="317" spans="1:7" x14ac:dyDescent="0.3">
      <c r="A317" s="13" t="s">
        <v>948</v>
      </c>
      <c r="B317" s="12" t="s">
        <v>947</v>
      </c>
      <c r="C317" s="12">
        <v>30</v>
      </c>
      <c r="D317" s="14">
        <v>25271.887999999999</v>
      </c>
      <c r="E317" s="14">
        <v>21416.932000000001</v>
      </c>
      <c r="F317" s="14"/>
      <c r="G317" s="12" t="str">
        <f>VLOOKUP(TRIM($A317),principal!$G:$G,1,0)</f>
        <v>MLT-D108</v>
      </c>
    </row>
    <row r="318" spans="1:7" x14ac:dyDescent="0.3">
      <c r="A318" s="13" t="s">
        <v>950</v>
      </c>
      <c r="B318" s="12" t="s">
        <v>949</v>
      </c>
      <c r="C318" s="12">
        <v>30</v>
      </c>
      <c r="D318" s="14">
        <v>13065.144</v>
      </c>
      <c r="E318" s="14">
        <v>11072.175999999999</v>
      </c>
      <c r="F318" s="14"/>
      <c r="G318" s="12" t="str">
        <f>VLOOKUP(TRIM($A318),principal!$G:$G,1,0)</f>
        <v>MLTD111LCOMP</v>
      </c>
    </row>
    <row r="319" spans="1:7" x14ac:dyDescent="0.3">
      <c r="A319" s="13" t="s">
        <v>956</v>
      </c>
      <c r="B319" s="12" t="s">
        <v>955</v>
      </c>
      <c r="C319" s="12">
        <v>30</v>
      </c>
      <c r="D319" s="14">
        <v>32637.995999999999</v>
      </c>
      <c r="E319" s="14">
        <v>27659.276000000002</v>
      </c>
      <c r="F319" s="14"/>
      <c r="G319" s="12" t="str">
        <f>VLOOKUP(TRIM($A319),principal!$G:$G,1,0)</f>
        <v>MLTD115LCOMP</v>
      </c>
    </row>
    <row r="320" spans="1:7" x14ac:dyDescent="0.3">
      <c r="A320" s="13" t="s">
        <v>958</v>
      </c>
      <c r="B320" s="12" t="s">
        <v>957</v>
      </c>
      <c r="C320" s="12">
        <v>30</v>
      </c>
      <c r="D320" s="14">
        <v>42440.627999999997</v>
      </c>
      <c r="E320" s="14">
        <v>35966.663999999997</v>
      </c>
      <c r="F320" s="14"/>
      <c r="G320" s="12" t="str">
        <f>VLOOKUP(TRIM($A320),principal!$G:$G,1,0)</f>
        <v>MLTD116LCOMP</v>
      </c>
    </row>
    <row r="321" spans="1:7" x14ac:dyDescent="0.3">
      <c r="A321" s="13" t="s">
        <v>952</v>
      </c>
      <c r="B321" s="12" t="s">
        <v>951</v>
      </c>
      <c r="C321" s="12">
        <v>30</v>
      </c>
      <c r="D321" s="14">
        <v>31922.416000000001</v>
      </c>
      <c r="E321" s="14">
        <v>27052.92</v>
      </c>
      <c r="F321" s="14"/>
      <c r="G321" s="12" t="str">
        <f>VLOOKUP(TRIM($A321),principal!$G:$G,1,0)</f>
        <v>MLT-D203U</v>
      </c>
    </row>
    <row r="322" spans="1:7" x14ac:dyDescent="0.3">
      <c r="A322" s="13" t="s">
        <v>954</v>
      </c>
      <c r="B322" s="12" t="s">
        <v>953</v>
      </c>
      <c r="C322" s="12">
        <v>30</v>
      </c>
      <c r="D322" s="14">
        <v>25402.276000000002</v>
      </c>
      <c r="E322" s="14">
        <v>21527.34</v>
      </c>
      <c r="F322" s="14"/>
      <c r="G322" s="12" t="str">
        <f>VLOOKUP(TRIM($A322),principal!$G:$G,1,0)</f>
        <v>MLT-D205L</v>
      </c>
    </row>
    <row r="323" spans="1:7" x14ac:dyDescent="0.3">
      <c r="A323" s="13" t="s">
        <v>822</v>
      </c>
      <c r="B323" s="12" t="s">
        <v>821</v>
      </c>
      <c r="C323" s="12">
        <v>15</v>
      </c>
      <c r="D323" s="14">
        <v>6370.808</v>
      </c>
      <c r="E323" s="14">
        <v>5399.04</v>
      </c>
      <c r="F323" s="14"/>
      <c r="G323" s="12" t="str">
        <f>VLOOKUP(TRIM($A323),principal!$G:$G,1,0)</f>
        <v>MONOPOD</v>
      </c>
    </row>
    <row r="324" spans="1:7" x14ac:dyDescent="0.3">
      <c r="A324" s="13" t="s">
        <v>576</v>
      </c>
      <c r="B324" s="12" t="s">
        <v>575</v>
      </c>
      <c r="C324" s="12">
        <v>15</v>
      </c>
      <c r="D324" s="14">
        <v>7117.616</v>
      </c>
      <c r="E324" s="14">
        <v>6031.8879999999999</v>
      </c>
      <c r="F324" s="14"/>
      <c r="G324" s="12" t="str">
        <f>VLOOKUP(TRIM($A324),principal!$G:$G,1,0)</f>
        <v>MOUSELOG</v>
      </c>
    </row>
    <row r="325" spans="1:7" x14ac:dyDescent="0.3">
      <c r="A325" s="13" t="s">
        <v>433</v>
      </c>
      <c r="B325" s="12" t="s">
        <v>432</v>
      </c>
      <c r="C325" s="12">
        <v>90</v>
      </c>
      <c r="D325" s="14">
        <v>64483.748</v>
      </c>
      <c r="E325" s="14">
        <v>54647.224000000002</v>
      </c>
      <c r="F325" s="14"/>
      <c r="G325" s="12" t="str">
        <f>VLOOKUP(TRIM($A325),principal!$G:$G,1,0)</f>
        <v>MT-K735</v>
      </c>
    </row>
    <row r="326" spans="1:7" x14ac:dyDescent="0.3">
      <c r="A326" s="13" t="s">
        <v>724</v>
      </c>
      <c r="B326" s="12" t="s">
        <v>723</v>
      </c>
      <c r="C326" s="12">
        <v>360</v>
      </c>
      <c r="D326" s="14">
        <v>15676.603999999999</v>
      </c>
      <c r="E326" s="14">
        <v>13285.22</v>
      </c>
      <c r="F326" s="14"/>
      <c r="G326" s="12" t="str">
        <f>VLOOKUP(TRIM($A326),principal!$G:$G,1,0)</f>
        <v>MU6H</v>
      </c>
    </row>
    <row r="327" spans="1:7" x14ac:dyDescent="0.3">
      <c r="A327" s="13" t="s">
        <v>726</v>
      </c>
      <c r="B327" s="12" t="s">
        <v>725</v>
      </c>
      <c r="C327" s="12">
        <v>720</v>
      </c>
      <c r="D327" s="14">
        <v>15676.603999999999</v>
      </c>
      <c r="E327" s="14">
        <v>13285.22</v>
      </c>
      <c r="F327" s="14"/>
      <c r="G327" s="12" t="str">
        <f>VLOOKUP(TRIM($A327),principal!$G:$G,1,0)</f>
        <v>MW300UH</v>
      </c>
    </row>
    <row r="328" spans="1:7" x14ac:dyDescent="0.3">
      <c r="A328" s="13" t="s">
        <v>764</v>
      </c>
      <c r="B328" s="12" t="s">
        <v>763</v>
      </c>
      <c r="C328" s="12">
        <v>180</v>
      </c>
      <c r="D328" s="14">
        <v>21449.788</v>
      </c>
      <c r="E328" s="14">
        <v>18177.804</v>
      </c>
      <c r="F328" s="14"/>
      <c r="G328" s="12" t="str">
        <f>VLOOKUP(TRIM($A328),principal!$G:$G,1,0)</f>
        <v>MW302R</v>
      </c>
    </row>
    <row r="329" spans="1:7" x14ac:dyDescent="0.3">
      <c r="A329" s="13" t="s">
        <v>768</v>
      </c>
      <c r="B329" s="12" t="s">
        <v>767</v>
      </c>
      <c r="C329" s="12">
        <v>180</v>
      </c>
      <c r="D329" s="14">
        <v>24337.712</v>
      </c>
      <c r="E329" s="14">
        <v>20625.28</v>
      </c>
      <c r="F329" s="14"/>
      <c r="G329" s="12" t="str">
        <f>VLOOKUP(TRIM($A329),principal!$G:$G,1,0)</f>
        <v>MW305R</v>
      </c>
    </row>
    <row r="330" spans="1:7" x14ac:dyDescent="0.3">
      <c r="A330" s="13" t="s">
        <v>770</v>
      </c>
      <c r="B330" s="12" t="s">
        <v>769</v>
      </c>
      <c r="C330" s="12">
        <v>180</v>
      </c>
      <c r="D330" s="14">
        <v>27771.756000000001</v>
      </c>
      <c r="E330" s="14">
        <v>23535.403999999999</v>
      </c>
      <c r="F330" s="14"/>
      <c r="G330" s="12" t="str">
        <f>VLOOKUP(TRIM($A330),principal!$G:$G,1,0)</f>
        <v>MW325R</v>
      </c>
    </row>
    <row r="331" spans="1:7" x14ac:dyDescent="0.3">
      <c r="A331" s="13" t="s">
        <v>381</v>
      </c>
      <c r="B331" s="12" t="s">
        <v>380</v>
      </c>
      <c r="C331" s="12">
        <v>360</v>
      </c>
      <c r="D331" s="14">
        <v>216594.448</v>
      </c>
      <c r="E331" s="14">
        <v>183554.63200000001</v>
      </c>
      <c r="F331" s="14"/>
      <c r="G331" s="12" t="str">
        <f>VLOOKUP(TRIM($A331),principal!$G:$G,1,0)</f>
        <v>N535N1TB</v>
      </c>
    </row>
    <row r="332" spans="1:7" x14ac:dyDescent="0.3">
      <c r="A332" s="13" t="s">
        <v>461</v>
      </c>
      <c r="B332" s="12" t="s">
        <v>460</v>
      </c>
      <c r="C332" s="12">
        <v>15</v>
      </c>
      <c r="D332" s="14">
        <v>10472.183999999999</v>
      </c>
      <c r="E332" s="14">
        <v>8874.82</v>
      </c>
      <c r="F332" s="14"/>
      <c r="G332" s="12" t="str">
        <f>VLOOKUP(TRIM($A332),principal!$G:$G,1,0)</f>
        <v>NETACHUB</v>
      </c>
    </row>
    <row r="333" spans="1:7" x14ac:dyDescent="0.3">
      <c r="A333" s="13" t="s">
        <v>870</v>
      </c>
      <c r="B333" s="12" t="s">
        <v>869</v>
      </c>
      <c r="C333" s="12">
        <v>30</v>
      </c>
      <c r="D333" s="14">
        <v>4610.9399999999996</v>
      </c>
      <c r="E333" s="14">
        <v>3907.6439999999998</v>
      </c>
      <c r="F333" s="14"/>
      <c r="G333" s="12" t="str">
        <f>VLOOKUP(TRIM($A333),principal!$G:$G,1,0)</f>
        <v>NEXT1060</v>
      </c>
    </row>
    <row r="334" spans="1:7" x14ac:dyDescent="0.3">
      <c r="A334" s="13" t="s">
        <v>27</v>
      </c>
      <c r="B334" s="12" t="s">
        <v>1886</v>
      </c>
      <c r="C334" s="12">
        <v>15</v>
      </c>
      <c r="D334" s="14">
        <v>17697.988000000001</v>
      </c>
      <c r="E334" s="14">
        <v>14998.32</v>
      </c>
      <c r="F334" s="14"/>
      <c r="G334" s="12" t="str">
        <f>VLOOKUP(TRIM($A334),principal!$G:$G,1,0)</f>
        <v>NG-55VL</v>
      </c>
    </row>
    <row r="335" spans="1:7" x14ac:dyDescent="0.3">
      <c r="A335" s="13" t="s">
        <v>7</v>
      </c>
      <c r="B335" s="12" t="s">
        <v>6</v>
      </c>
      <c r="C335" s="12">
        <v>180</v>
      </c>
      <c r="D335" s="14">
        <v>18194.527999999998</v>
      </c>
      <c r="E335" s="14">
        <v>15419.084000000001</v>
      </c>
      <c r="F335" s="14"/>
      <c r="G335" s="12" t="str">
        <f>VLOOKUP(TRIM($A335),principal!$G:$G,1,0)</f>
        <v>NN0P069</v>
      </c>
    </row>
    <row r="336" spans="1:7" x14ac:dyDescent="0.3">
      <c r="A336" s="13" t="s">
        <v>8</v>
      </c>
      <c r="B336" s="12" t="s">
        <v>1869</v>
      </c>
      <c r="C336" s="12">
        <v>0</v>
      </c>
      <c r="D336" s="14">
        <v>6060.4520000000002</v>
      </c>
      <c r="E336" s="14">
        <v>5136.0439999999999</v>
      </c>
      <c r="F336" s="14"/>
      <c r="G336" s="12" t="str">
        <f>VLOOKUP(TRIM($A336),principal!$G:$G,1,0)</f>
        <v>NNDVIHDMI</v>
      </c>
    </row>
    <row r="337" spans="1:7" x14ac:dyDescent="0.3">
      <c r="A337" s="13" t="s">
        <v>722</v>
      </c>
      <c r="B337" s="12" t="s">
        <v>721</v>
      </c>
      <c r="C337" s="12">
        <v>720</v>
      </c>
      <c r="D337" s="14">
        <v>6165.2359999999999</v>
      </c>
      <c r="E337" s="14">
        <v>5224.6959999999999</v>
      </c>
      <c r="F337" s="14"/>
      <c r="G337" s="12" t="str">
        <f>VLOOKUP(TRIM($A337),principal!$G:$G,1,0)</f>
        <v>NW150US</v>
      </c>
    </row>
    <row r="338" spans="1:7" x14ac:dyDescent="0.3">
      <c r="A338" s="13" t="s">
        <v>590</v>
      </c>
      <c r="B338" s="12" t="s">
        <v>589</v>
      </c>
      <c r="C338" s="12">
        <v>15</v>
      </c>
      <c r="D338" s="14">
        <v>18457.524000000001</v>
      </c>
      <c r="E338" s="14">
        <v>15641.972</v>
      </c>
      <c r="F338" s="14"/>
      <c r="G338" s="12" t="str">
        <f>VLOOKUP(TRIM($A338),principal!$G:$G,1,0)</f>
        <v>NX8000</v>
      </c>
    </row>
    <row r="339" spans="1:7" x14ac:dyDescent="0.3">
      <c r="A339" s="13" t="s">
        <v>660</v>
      </c>
      <c r="B339" s="12" t="s">
        <v>1924</v>
      </c>
      <c r="C339" s="12">
        <v>15</v>
      </c>
      <c r="D339" s="14">
        <v>2698.04</v>
      </c>
      <c r="E339" s="14">
        <v>2286.4520000000002</v>
      </c>
      <c r="F339" s="14"/>
      <c r="G339" s="12" t="str">
        <f>VLOOKUP(TRIM($A339),principal!$G:$G,1,0)</f>
        <v>PAD1</v>
      </c>
    </row>
    <row r="340" spans="1:7" x14ac:dyDescent="0.3">
      <c r="A340" s="13" t="s">
        <v>818</v>
      </c>
      <c r="B340" s="12" t="s">
        <v>817</v>
      </c>
      <c r="C340" s="12">
        <v>360</v>
      </c>
      <c r="D340" s="14">
        <v>15154.164000000001</v>
      </c>
      <c r="E340" s="14">
        <v>12842.552</v>
      </c>
      <c r="F340" s="14"/>
      <c r="G340" s="12" t="str">
        <f>VLOOKUP(TRIM($A340),principal!$G:$G,1,0)</f>
        <v>PANDADOME</v>
      </c>
    </row>
    <row r="341" spans="1:7" x14ac:dyDescent="0.3">
      <c r="A341" s="13" t="s">
        <v>820</v>
      </c>
      <c r="B341" s="12" t="s">
        <v>819</v>
      </c>
      <c r="C341" s="12">
        <v>360</v>
      </c>
      <c r="D341" s="14">
        <v>36225.663999999997</v>
      </c>
      <c r="E341" s="14">
        <v>30699.788</v>
      </c>
      <c r="F341" s="14"/>
      <c r="G341" s="12" t="str">
        <f>VLOOKUP(TRIM($A341),principal!$G:$G,1,0)</f>
        <v>PANDAINTDO3</v>
      </c>
    </row>
    <row r="342" spans="1:7" x14ac:dyDescent="0.3">
      <c r="A342" s="13" t="s">
        <v>668</v>
      </c>
      <c r="B342" s="12" t="s">
        <v>667</v>
      </c>
      <c r="C342" s="12">
        <v>0</v>
      </c>
      <c r="D342" s="14">
        <v>1927.9960000000001</v>
      </c>
      <c r="E342" s="14">
        <v>1633.92</v>
      </c>
      <c r="F342" s="14"/>
      <c r="G342" s="12" t="str">
        <f>VLOOKUP(TRIM($A342),principal!$G:$G,1,0)</f>
        <v>PAPELF100</v>
      </c>
    </row>
    <row r="343" spans="1:7" x14ac:dyDescent="0.3">
      <c r="A343" s="13" t="s">
        <v>670</v>
      </c>
      <c r="B343" s="12" t="s">
        <v>669</v>
      </c>
      <c r="C343" s="12">
        <v>0</v>
      </c>
      <c r="D343" s="14">
        <v>1927.9960000000001</v>
      </c>
      <c r="E343" s="14">
        <v>1633.92</v>
      </c>
      <c r="F343" s="14"/>
      <c r="G343" s="12" t="str">
        <f>VLOOKUP(TRIM($A343),principal!$G:$G,1,0)</f>
        <v>PAPELF130</v>
      </c>
    </row>
    <row r="344" spans="1:7" x14ac:dyDescent="0.3">
      <c r="A344" s="13" t="s">
        <v>672</v>
      </c>
      <c r="B344" s="12" t="s">
        <v>671</v>
      </c>
      <c r="C344" s="12">
        <v>0</v>
      </c>
      <c r="D344" s="14">
        <v>3691.12</v>
      </c>
      <c r="E344" s="14">
        <v>10652.596</v>
      </c>
      <c r="F344" s="14"/>
      <c r="G344" s="12" t="str">
        <f>VLOOKUP(TRIM($A344),principal!$G:$G,1,0)</f>
        <v>PAPER220</v>
      </c>
    </row>
    <row r="345" spans="1:7" x14ac:dyDescent="0.3">
      <c r="A345" s="13" t="s">
        <v>44</v>
      </c>
      <c r="B345" s="12" t="s">
        <v>1889</v>
      </c>
      <c r="C345" s="12">
        <v>15</v>
      </c>
      <c r="D345" s="14">
        <v>6145.1080000000002</v>
      </c>
      <c r="E345" s="14">
        <v>5207.6760000000004</v>
      </c>
      <c r="F345" s="14"/>
      <c r="G345" s="12" t="str">
        <f>VLOOKUP(TRIM($A345),principal!$G:$G,1,0)</f>
        <v>PATCH08</v>
      </c>
    </row>
    <row r="346" spans="1:7" x14ac:dyDescent="0.3">
      <c r="A346" s="13" t="s">
        <v>50</v>
      </c>
      <c r="B346" s="12" t="s">
        <v>49</v>
      </c>
      <c r="C346" s="12">
        <v>15</v>
      </c>
      <c r="D346" s="14">
        <v>18621.36</v>
      </c>
      <c r="E346" s="14">
        <v>15780.796</v>
      </c>
      <c r="F346" s="14"/>
      <c r="G346" s="12" t="str">
        <f>VLOOKUP(TRIM($A346),principal!$G:$G,1,0)</f>
        <v>PATCH100</v>
      </c>
    </row>
    <row r="347" spans="1:7" x14ac:dyDescent="0.3">
      <c r="A347" s="13" t="s">
        <v>52</v>
      </c>
      <c r="B347" s="12" t="s">
        <v>51</v>
      </c>
      <c r="C347" s="12">
        <v>15</v>
      </c>
      <c r="D347" s="14">
        <v>23941.812000000002</v>
      </c>
      <c r="E347" s="14">
        <v>20289.616000000002</v>
      </c>
      <c r="F347" s="14"/>
      <c r="G347" s="12" t="str">
        <f>VLOOKUP(TRIM($A347),principal!$G:$G,1,0)</f>
        <v>PATCH150</v>
      </c>
    </row>
    <row r="348" spans="1:7" x14ac:dyDescent="0.3">
      <c r="A348" s="13" t="s">
        <v>45</v>
      </c>
      <c r="B348" s="12" t="s">
        <v>1890</v>
      </c>
      <c r="C348" s="12">
        <v>15</v>
      </c>
      <c r="D348" s="14">
        <v>6650.5280000000002</v>
      </c>
      <c r="E348" s="14">
        <v>5635.9880000000003</v>
      </c>
      <c r="F348" s="14"/>
      <c r="G348" s="12" t="str">
        <f>VLOOKUP(TRIM($A348),principal!$G:$G,1,0)</f>
        <v>PATCH18</v>
      </c>
    </row>
    <row r="349" spans="1:7" x14ac:dyDescent="0.3">
      <c r="A349" s="13" t="s">
        <v>54</v>
      </c>
      <c r="B349" s="12" t="s">
        <v>53</v>
      </c>
      <c r="C349" s="12">
        <v>15</v>
      </c>
      <c r="D349" s="14">
        <v>31922.416000000001</v>
      </c>
      <c r="E349" s="14">
        <v>27052.92</v>
      </c>
      <c r="F349" s="14"/>
      <c r="G349" s="12" t="str">
        <f>VLOOKUP(TRIM($A349),principal!$G:$G,1,0)</f>
        <v>PATCH200</v>
      </c>
    </row>
    <row r="350" spans="1:7" x14ac:dyDescent="0.3">
      <c r="A350" s="13" t="s">
        <v>46</v>
      </c>
      <c r="B350" s="12" t="s">
        <v>1891</v>
      </c>
      <c r="C350" s="12">
        <v>15</v>
      </c>
      <c r="D350" s="14">
        <v>9576.7839999999997</v>
      </c>
      <c r="E350" s="14">
        <v>8115.8760000000002</v>
      </c>
      <c r="F350" s="14"/>
      <c r="G350" s="12" t="str">
        <f>VLOOKUP(TRIM($A350),principal!$G:$G,1,0)</f>
        <v>PATCH3</v>
      </c>
    </row>
    <row r="351" spans="1:7" x14ac:dyDescent="0.3">
      <c r="A351" s="13" t="s">
        <v>48</v>
      </c>
      <c r="B351" s="12" t="s">
        <v>47</v>
      </c>
      <c r="C351" s="12">
        <v>15</v>
      </c>
      <c r="D351" s="14">
        <v>12502.892</v>
      </c>
      <c r="E351" s="14">
        <v>10595.763999999999</v>
      </c>
      <c r="F351" s="14"/>
      <c r="G351" s="12" t="str">
        <f>VLOOKUP(TRIM($A351),principal!$G:$G,1,0)</f>
        <v>PATCH50</v>
      </c>
    </row>
    <row r="352" spans="1:7" x14ac:dyDescent="0.3">
      <c r="A352" s="13" t="s">
        <v>688</v>
      </c>
      <c r="B352" s="12" t="s">
        <v>687</v>
      </c>
      <c r="C352" s="12">
        <v>15</v>
      </c>
      <c r="D352" s="14">
        <v>96910.547999999995</v>
      </c>
      <c r="E352" s="14">
        <v>82127.567999999999</v>
      </c>
      <c r="F352" s="14"/>
      <c r="G352" s="12" t="str">
        <f>VLOOKUP(TRIM($A352),principal!$G:$G,1,0)</f>
        <v>PATCHPANEL</v>
      </c>
    </row>
    <row r="353" spans="1:7" x14ac:dyDescent="0.3">
      <c r="A353" s="13" t="s">
        <v>882</v>
      </c>
      <c r="B353" s="12" t="s">
        <v>881</v>
      </c>
      <c r="C353" s="12">
        <v>30</v>
      </c>
      <c r="D353" s="14">
        <v>18127.632000000001</v>
      </c>
      <c r="E353" s="14">
        <v>15362.4</v>
      </c>
      <c r="F353" s="14"/>
      <c r="G353" s="12" t="str">
        <f>VLOOKUP(TRIM($A353),principal!$G:$G,1,0)</f>
        <v>PB211AL</v>
      </c>
    </row>
    <row r="354" spans="1:7" x14ac:dyDescent="0.3">
      <c r="A354" s="13" t="s">
        <v>754</v>
      </c>
      <c r="B354" s="12" t="s">
        <v>753</v>
      </c>
      <c r="C354" s="12">
        <v>360</v>
      </c>
      <c r="D354" s="14">
        <v>40138.635999999999</v>
      </c>
      <c r="E354" s="14">
        <v>34015.728000000003</v>
      </c>
      <c r="F354" s="14"/>
      <c r="G354" s="12" t="str">
        <f>VLOOKUP(TRIM($A354),principal!$G:$G,1,0)</f>
        <v>PC100045</v>
      </c>
    </row>
    <row r="355" spans="1:7" x14ac:dyDescent="0.3">
      <c r="A355" s="13" t="s">
        <v>453</v>
      </c>
      <c r="B355" s="12" t="s">
        <v>452</v>
      </c>
      <c r="C355" s="12">
        <v>0</v>
      </c>
      <c r="D355" s="14">
        <v>8178.48</v>
      </c>
      <c r="E355" s="14">
        <v>6930.84</v>
      </c>
      <c r="F355" s="14"/>
      <c r="G355" s="12" t="str">
        <f>VLOOKUP(TRIM($A355),principal!$G:$G,1,0)</f>
        <v>PCGRAS</v>
      </c>
    </row>
    <row r="356" spans="1:7" x14ac:dyDescent="0.3">
      <c r="A356" s="13" t="s">
        <v>752</v>
      </c>
      <c r="B356" s="12" t="s">
        <v>751</v>
      </c>
      <c r="C356" s="12">
        <v>180</v>
      </c>
      <c r="D356" s="14">
        <v>4956.3720000000003</v>
      </c>
      <c r="E356" s="14">
        <v>4200.24</v>
      </c>
      <c r="F356" s="14"/>
      <c r="G356" s="12" t="str">
        <f>VLOOKUP(TRIM($A356),principal!$G:$G,1,0)</f>
        <v>PCHE207</v>
      </c>
    </row>
    <row r="357" spans="1:7" x14ac:dyDescent="0.3">
      <c r="A357" s="13" t="s">
        <v>676</v>
      </c>
      <c r="B357" s="12" t="s">
        <v>675</v>
      </c>
      <c r="C357" s="12">
        <v>360</v>
      </c>
      <c r="D357" s="14">
        <v>17493.599999999999</v>
      </c>
      <c r="E357" s="14">
        <v>14825.16</v>
      </c>
      <c r="F357" s="14"/>
      <c r="G357" s="12" t="str">
        <f>VLOOKUP(TRIM($A357),principal!$G:$G,1,0)</f>
        <v>PCHF180W</v>
      </c>
    </row>
    <row r="358" spans="1:7" x14ac:dyDescent="0.3">
      <c r="A358" s="13" t="s">
        <v>682</v>
      </c>
      <c r="B358" s="12" t="s">
        <v>681</v>
      </c>
      <c r="C358" s="12">
        <v>360</v>
      </c>
      <c r="D358" s="14">
        <v>18759.148000000001</v>
      </c>
      <c r="E358" s="14">
        <v>15897.567999999999</v>
      </c>
      <c r="F358" s="14"/>
      <c r="G358" s="12" t="str">
        <f>VLOOKUP(TRIM($A358),principal!$G:$G,1,0)</f>
        <v>PCHF280</v>
      </c>
    </row>
    <row r="359" spans="1:7" x14ac:dyDescent="0.3">
      <c r="A359" s="13" t="s">
        <v>451</v>
      </c>
      <c r="B359" s="12" t="s">
        <v>450</v>
      </c>
      <c r="C359" s="12">
        <v>0</v>
      </c>
      <c r="D359" s="14">
        <v>6133.86</v>
      </c>
      <c r="E359" s="14">
        <v>5198.2039999999997</v>
      </c>
      <c r="F359" s="14"/>
      <c r="G359" s="12" t="str">
        <f>VLOOKUP(TRIM($A359),principal!$G:$G,1,0)</f>
        <v>PCKIGRAS</v>
      </c>
    </row>
    <row r="360" spans="1:7" x14ac:dyDescent="0.3">
      <c r="A360" s="13" t="s">
        <v>690</v>
      </c>
      <c r="B360" s="12" t="s">
        <v>689</v>
      </c>
      <c r="C360" s="12">
        <v>360</v>
      </c>
      <c r="D360" s="14">
        <v>509743.82</v>
      </c>
      <c r="E360" s="14">
        <v>431986.24800000002</v>
      </c>
      <c r="F360" s="14"/>
      <c r="G360" s="12" t="str">
        <f>VLOOKUP(TRIM($A360),principal!$G:$G,1,0)</f>
        <v>PERFOR3200</v>
      </c>
    </row>
    <row r="361" spans="1:7" x14ac:dyDescent="0.3">
      <c r="A361" s="13" t="s">
        <v>692</v>
      </c>
      <c r="B361" s="12" t="s">
        <v>691</v>
      </c>
      <c r="C361" s="12">
        <v>360</v>
      </c>
      <c r="D361" s="14">
        <v>544899.14800000004</v>
      </c>
      <c r="E361" s="14">
        <v>461778.94400000002</v>
      </c>
      <c r="F361" s="14"/>
      <c r="G361" s="12" t="str">
        <f>VLOOKUP(TRIM($A361),principal!$G:$G,1,0)</f>
        <v>PERFOR3500</v>
      </c>
    </row>
    <row r="362" spans="1:7" x14ac:dyDescent="0.3">
      <c r="A362" s="13" t="s">
        <v>694</v>
      </c>
      <c r="B362" s="12" t="s">
        <v>693</v>
      </c>
      <c r="C362" s="12">
        <v>360</v>
      </c>
      <c r="D362" s="14">
        <v>683312.44799999997</v>
      </c>
      <c r="E362" s="14">
        <v>579078.41599999997</v>
      </c>
      <c r="F362" s="14"/>
      <c r="G362" s="12" t="str">
        <f>VLOOKUP(TRIM($A362),principal!$G:$G,1,0)</f>
        <v>PERFOR3516</v>
      </c>
    </row>
    <row r="363" spans="1:7" x14ac:dyDescent="0.3">
      <c r="A363" s="13" t="s">
        <v>716</v>
      </c>
      <c r="B363" s="12" t="s">
        <v>715</v>
      </c>
      <c r="C363" s="12">
        <v>15</v>
      </c>
      <c r="D363" s="14">
        <v>847.3</v>
      </c>
      <c r="E363" s="14">
        <v>718.096</v>
      </c>
      <c r="F363" s="14"/>
      <c r="G363" s="12" t="str">
        <f>VLOOKUP(TRIM($A363),principal!$G:$G,1,0)</f>
        <v>PILA2032</v>
      </c>
    </row>
    <row r="364" spans="1:7" x14ac:dyDescent="0.3">
      <c r="A364" s="13" t="s">
        <v>720</v>
      </c>
      <c r="B364" s="12" t="s">
        <v>719</v>
      </c>
      <c r="C364" s="12">
        <v>15</v>
      </c>
      <c r="D364" s="14">
        <v>25928.416000000001</v>
      </c>
      <c r="E364" s="14">
        <v>21973.263999999999</v>
      </c>
      <c r="F364" s="14"/>
      <c r="G364" s="12" t="str">
        <f>VLOOKUP(TRIM($A364),principal!$G:$G,1,0)</f>
        <v>PINZA02</v>
      </c>
    </row>
    <row r="365" spans="1:7" x14ac:dyDescent="0.3">
      <c r="A365" s="13" t="s">
        <v>872</v>
      </c>
      <c r="B365" s="12" t="s">
        <v>871</v>
      </c>
      <c r="C365" s="12">
        <v>30</v>
      </c>
      <c r="D365" s="14">
        <v>5916.152</v>
      </c>
      <c r="E365" s="14">
        <v>5013.7960000000003</v>
      </c>
      <c r="F365" s="14"/>
      <c r="G365" s="12" t="str">
        <f>VLOOKUP(TRIM($A365),principal!$G:$G,1,0)</f>
        <v>POWER1060</v>
      </c>
    </row>
    <row r="366" spans="1:7" x14ac:dyDescent="0.3">
      <c r="A366" s="13" t="s">
        <v>878</v>
      </c>
      <c r="B366" s="12" t="s">
        <v>877</v>
      </c>
      <c r="C366" s="12">
        <v>30</v>
      </c>
      <c r="D366" s="14">
        <v>9721.232</v>
      </c>
      <c r="E366" s="14">
        <v>8238.2720000000008</v>
      </c>
      <c r="F366" s="14"/>
      <c r="G366" s="12" t="str">
        <f>VLOOKUP(TRIM($A366),principal!$G:$G,1,0)</f>
        <v>POWERN410</v>
      </c>
    </row>
    <row r="367" spans="1:7" x14ac:dyDescent="0.3">
      <c r="A367" s="13" t="s">
        <v>469</v>
      </c>
      <c r="B367" s="12" t="s">
        <v>468</v>
      </c>
      <c r="C367" s="12">
        <v>360</v>
      </c>
      <c r="D367" s="14">
        <v>228102.33600000001</v>
      </c>
      <c r="E367" s="14">
        <v>193307.092</v>
      </c>
      <c r="F367" s="14"/>
      <c r="G367" s="12" t="str">
        <f>VLOOKUP(TRIM($A367),principal!$G:$G,1,0)</f>
        <v>PREH1200</v>
      </c>
    </row>
    <row r="368" spans="1:7" x14ac:dyDescent="0.3">
      <c r="A368" s="13" t="s">
        <v>471</v>
      </c>
      <c r="B368" s="12" t="s">
        <v>470</v>
      </c>
      <c r="C368" s="12">
        <v>360</v>
      </c>
      <c r="D368" s="14">
        <v>285570.73599999998</v>
      </c>
      <c r="E368" s="14">
        <v>242009.15599999999</v>
      </c>
      <c r="F368" s="14"/>
      <c r="G368" s="12" t="str">
        <f>VLOOKUP(TRIM($A368),principal!$G:$G,1,0)</f>
        <v>PREH1212W</v>
      </c>
    </row>
    <row r="369" spans="1:7" x14ac:dyDescent="0.3">
      <c r="A369" s="13" t="s">
        <v>473</v>
      </c>
      <c r="B369" s="12" t="s">
        <v>472</v>
      </c>
      <c r="C369" s="12">
        <v>360</v>
      </c>
      <c r="D369" s="14">
        <v>457924.58</v>
      </c>
      <c r="E369" s="14">
        <v>388071.68800000002</v>
      </c>
      <c r="F369" s="14"/>
      <c r="G369" s="12" t="str">
        <f>VLOOKUP(TRIM($A369),principal!$G:$G,1,0)</f>
        <v>PREH2320</v>
      </c>
    </row>
    <row r="370" spans="1:7" x14ac:dyDescent="0.3">
      <c r="A370" s="13" t="s">
        <v>475</v>
      </c>
      <c r="B370" s="12" t="s">
        <v>474</v>
      </c>
      <c r="C370" s="12">
        <v>360</v>
      </c>
      <c r="D370" s="14">
        <v>525196.79599999997</v>
      </c>
      <c r="E370" s="14">
        <v>445082.02799999999</v>
      </c>
      <c r="F370" s="14"/>
      <c r="G370" s="12" t="str">
        <f>VLOOKUP(TRIM($A370),principal!$G:$G,1,0)</f>
        <v>PREH2360</v>
      </c>
    </row>
    <row r="371" spans="1:7" x14ac:dyDescent="0.3">
      <c r="A371" s="13" t="s">
        <v>495</v>
      </c>
      <c r="B371" s="12" t="s">
        <v>494</v>
      </c>
      <c r="C371" s="12">
        <v>1080</v>
      </c>
      <c r="D371" s="14">
        <v>168577.476</v>
      </c>
      <c r="E371" s="14">
        <v>142862.32800000001</v>
      </c>
      <c r="F371" s="14"/>
      <c r="G371" s="12" t="str">
        <f>VLOOKUP(TRIM($A371),principal!$G:$G,1,0)</f>
        <v>PRIMEA620M-K</v>
      </c>
    </row>
    <row r="372" spans="1:7" x14ac:dyDescent="0.3">
      <c r="A372" s="13" t="s">
        <v>493</v>
      </c>
      <c r="B372" s="12" t="s">
        <v>492</v>
      </c>
      <c r="C372" s="12">
        <v>360</v>
      </c>
      <c r="D372" s="14">
        <v>148812.372</v>
      </c>
      <c r="E372" s="14">
        <v>126112.132</v>
      </c>
      <c r="F372" s="14"/>
      <c r="G372" s="12" t="str">
        <f>VLOOKUP(TRIM($A372),principal!$G:$G,1,0)</f>
        <v>PROA620M-E</v>
      </c>
    </row>
    <row r="373" spans="1:7" x14ac:dyDescent="0.3">
      <c r="A373" s="13" t="s">
        <v>868</v>
      </c>
      <c r="B373" s="12" t="s">
        <v>867</v>
      </c>
      <c r="C373" s="12">
        <v>30</v>
      </c>
      <c r="D373" s="14">
        <v>19795.740000000002</v>
      </c>
      <c r="E373" s="14">
        <v>16776.096000000001</v>
      </c>
      <c r="F373" s="14"/>
      <c r="G373" s="12" t="str">
        <f>VLOOKUP(TRIM($A373),principal!$G:$G,1,0)</f>
        <v>PWT1210</v>
      </c>
    </row>
    <row r="374" spans="1:7" x14ac:dyDescent="0.3">
      <c r="A374" s="13" t="s">
        <v>928</v>
      </c>
      <c r="B374" s="12" t="s">
        <v>927</v>
      </c>
      <c r="C374" s="12">
        <v>30</v>
      </c>
      <c r="D374" s="14">
        <v>10101.444</v>
      </c>
      <c r="E374" s="14">
        <v>8560.4680000000008</v>
      </c>
      <c r="F374" s="14"/>
      <c r="G374" s="12" t="str">
        <f>VLOOKUP(TRIM($A374),principal!$G:$G,1,0)</f>
        <v>PWTUNI</v>
      </c>
    </row>
    <row r="375" spans="1:7" x14ac:dyDescent="0.3">
      <c r="A375" s="13" t="s">
        <v>421</v>
      </c>
      <c r="B375" s="12" t="s">
        <v>420</v>
      </c>
      <c r="C375" s="12">
        <v>360</v>
      </c>
      <c r="D375" s="14">
        <v>61734.351999999999</v>
      </c>
      <c r="E375" s="14">
        <v>52317.26</v>
      </c>
      <c r="F375" s="14"/>
      <c r="G375" s="12" t="str">
        <f>VLOOKUP(TRIM($A375),principal!$G:$G,1,0)</f>
        <v>RAIDMAX550</v>
      </c>
    </row>
    <row r="376" spans="1:7" x14ac:dyDescent="0.3">
      <c r="A376" s="13" t="s">
        <v>786</v>
      </c>
      <c r="B376" s="12" t="s">
        <v>785</v>
      </c>
      <c r="C376" s="12">
        <v>30</v>
      </c>
      <c r="D376" s="14">
        <v>335402.92800000001</v>
      </c>
      <c r="E376" s="14">
        <v>284239.772</v>
      </c>
      <c r="F376" s="14"/>
      <c r="G376" s="12" t="str">
        <f>VLOOKUP(TRIM($A376),principal!$G:$G,1,0)</f>
        <v>RAP-SILLA-R1-GRIS</v>
      </c>
    </row>
    <row r="377" spans="1:7" x14ac:dyDescent="0.3">
      <c r="A377" s="13" t="s">
        <v>784</v>
      </c>
      <c r="B377" s="12" t="s">
        <v>783</v>
      </c>
      <c r="C377" s="12">
        <v>15</v>
      </c>
      <c r="D377" s="14">
        <v>4095.4560000000001</v>
      </c>
      <c r="E377" s="14">
        <v>3470.748</v>
      </c>
      <c r="F377" s="14"/>
      <c r="G377" s="12" t="str">
        <f>VLOOKUP(TRIM($A377),principal!$G:$G,1,0)</f>
        <v>ROSETA01</v>
      </c>
    </row>
    <row r="378" spans="1:7" x14ac:dyDescent="0.3">
      <c r="A378" s="13" t="s">
        <v>1014</v>
      </c>
      <c r="B378" s="12" t="s">
        <v>1013</v>
      </c>
      <c r="C378" s="12">
        <v>360</v>
      </c>
      <c r="D378" s="14">
        <v>305376.39199999999</v>
      </c>
      <c r="E378" s="14">
        <v>258793.54</v>
      </c>
      <c r="F378" s="14"/>
      <c r="G378" s="12" t="str">
        <f>VLOOKUP(TRIM($A378),principal!$G:$G,1,0)</f>
        <v>RX6400SHA</v>
      </c>
    </row>
    <row r="379" spans="1:7" x14ac:dyDescent="0.3">
      <c r="A379" s="13" t="s">
        <v>1016</v>
      </c>
      <c r="B379" s="12" t="s">
        <v>1015</v>
      </c>
      <c r="C379" s="12">
        <v>360</v>
      </c>
      <c r="D379" s="14">
        <v>601356.70799999998</v>
      </c>
      <c r="E379" s="14">
        <v>509624.38400000002</v>
      </c>
      <c r="F379" s="14"/>
      <c r="G379" s="12" t="str">
        <f>VLOOKUP(TRIM($A379),principal!$G:$G,1,0)</f>
        <v>RX6600SHA</v>
      </c>
    </row>
    <row r="380" spans="1:7" x14ac:dyDescent="0.3">
      <c r="A380" s="13" t="s">
        <v>287</v>
      </c>
      <c r="B380" s="12" t="s">
        <v>286</v>
      </c>
      <c r="C380" s="12">
        <v>1060</v>
      </c>
      <c r="D380" s="14">
        <v>128236.82</v>
      </c>
      <c r="E380" s="14">
        <v>108675.216</v>
      </c>
      <c r="F380" s="14"/>
      <c r="G380" s="12" t="str">
        <f>VLOOKUP(TRIM($A380),principal!$G:$G,1,0)</f>
        <v>RYZEN33200O</v>
      </c>
    </row>
    <row r="381" spans="1:7" x14ac:dyDescent="0.3">
      <c r="A381" s="13" t="s">
        <v>293</v>
      </c>
      <c r="B381" s="12" t="s">
        <v>292</v>
      </c>
      <c r="C381" s="12">
        <v>1060</v>
      </c>
      <c r="D381" s="14">
        <v>244542.02799999999</v>
      </c>
      <c r="E381" s="14">
        <v>207239.07199999999</v>
      </c>
      <c r="F381" s="14"/>
      <c r="G381" s="12" t="str">
        <f>VLOOKUP(TRIM($A381),principal!$G:$G,1,0)</f>
        <v>RYZEN3600</v>
      </c>
    </row>
    <row r="382" spans="1:7" x14ac:dyDescent="0.3">
      <c r="A382" s="13" t="s">
        <v>289</v>
      </c>
      <c r="B382" s="12" t="s">
        <v>288</v>
      </c>
      <c r="C382" s="12">
        <v>1060</v>
      </c>
      <c r="D382" s="14">
        <v>197320.11199999999</v>
      </c>
      <c r="E382" s="14">
        <v>167220.46400000001</v>
      </c>
      <c r="F382" s="14"/>
      <c r="G382" s="12" t="str">
        <f>VLOOKUP(TRIM($A382),principal!$G:$G,1,0)</f>
        <v>RYZEN5300G</v>
      </c>
    </row>
    <row r="383" spans="1:7" x14ac:dyDescent="0.3">
      <c r="A383" s="13" t="s">
        <v>295</v>
      </c>
      <c r="B383" s="12" t="s">
        <v>294</v>
      </c>
      <c r="C383" s="12">
        <v>1060</v>
      </c>
      <c r="D383" s="14">
        <v>175027.16800000001</v>
      </c>
      <c r="E383" s="14">
        <v>148328.11600000001</v>
      </c>
      <c r="F383" s="14"/>
      <c r="G383" s="12" t="str">
        <f>VLOOKUP(TRIM($A383),principal!$G:$G,1,0)</f>
        <v>RYZEN5500</v>
      </c>
    </row>
    <row r="384" spans="1:7" x14ac:dyDescent="0.3">
      <c r="A384" s="13" t="s">
        <v>291</v>
      </c>
      <c r="B384" s="12" t="s">
        <v>290</v>
      </c>
      <c r="C384" s="12">
        <v>1060</v>
      </c>
      <c r="D384" s="14">
        <v>333362.74800000002</v>
      </c>
      <c r="E384" s="14">
        <v>282510.83600000001</v>
      </c>
      <c r="F384" s="14"/>
      <c r="G384" s="12" t="str">
        <f>VLOOKUP(TRIM($A384),principal!$G:$G,1,0)</f>
        <v>RYZEN5600G</v>
      </c>
    </row>
    <row r="385" spans="1:7" x14ac:dyDescent="0.3">
      <c r="A385" s="13" t="s">
        <v>297</v>
      </c>
      <c r="B385" s="12" t="s">
        <v>296</v>
      </c>
      <c r="C385" s="12">
        <v>1060</v>
      </c>
      <c r="D385" s="14">
        <v>324168.84000000003</v>
      </c>
      <c r="E385" s="14">
        <v>274719.37599999999</v>
      </c>
      <c r="F385" s="14"/>
      <c r="G385" s="12" t="str">
        <f>VLOOKUP(TRIM($A385),principal!$G:$G,1,0)</f>
        <v>RYZEN5700</v>
      </c>
    </row>
    <row r="386" spans="1:7" x14ac:dyDescent="0.3">
      <c r="A386" s="13" t="s">
        <v>299</v>
      </c>
      <c r="B386" s="12" t="s">
        <v>298</v>
      </c>
      <c r="C386" s="12">
        <v>1060</v>
      </c>
      <c r="D386" s="14">
        <v>371149.81199999998</v>
      </c>
      <c r="E386" s="14">
        <v>314533.74400000001</v>
      </c>
      <c r="F386" s="14"/>
      <c r="G386" s="12" t="str">
        <f>VLOOKUP(TRIM($A386),principal!$G:$G,1,0)</f>
        <v>RYZEN5700G</v>
      </c>
    </row>
    <row r="387" spans="1:7" x14ac:dyDescent="0.3">
      <c r="A387" s="13" t="s">
        <v>307</v>
      </c>
      <c r="B387" s="12" t="s">
        <v>306</v>
      </c>
      <c r="C387" s="12">
        <v>1060</v>
      </c>
      <c r="D387" s="14">
        <v>437111.19199999998</v>
      </c>
      <c r="E387" s="14">
        <v>370433.196</v>
      </c>
      <c r="F387" s="14"/>
      <c r="G387" s="12" t="str">
        <f>VLOOKUP(TRIM($A387),principal!$G:$G,1,0)</f>
        <v>RYZEN7600</v>
      </c>
    </row>
    <row r="388" spans="1:7" x14ac:dyDescent="0.3">
      <c r="A388" s="13" t="s">
        <v>309</v>
      </c>
      <c r="B388" s="12" t="s">
        <v>308</v>
      </c>
      <c r="C388" s="12">
        <v>1060</v>
      </c>
      <c r="D388" s="14">
        <v>477439.26799999998</v>
      </c>
      <c r="E388" s="14">
        <v>404609.652</v>
      </c>
      <c r="F388" s="14"/>
      <c r="G388" s="12" t="str">
        <f>VLOOKUP(TRIM($A388),principal!$G:$G,1,0)</f>
        <v>RYZEN7600X</v>
      </c>
    </row>
    <row r="389" spans="1:7" x14ac:dyDescent="0.3">
      <c r="A389" s="13" t="s">
        <v>311</v>
      </c>
      <c r="B389" s="12" t="s">
        <v>310</v>
      </c>
      <c r="C389" s="12">
        <v>1060</v>
      </c>
      <c r="D389" s="14">
        <v>702365.82</v>
      </c>
      <c r="E389" s="14">
        <v>595225.36399999994</v>
      </c>
      <c r="F389" s="14"/>
      <c r="G389" s="12" t="str">
        <f>VLOOKUP(TRIM($A389),principal!$G:$G,1,0)</f>
        <v>RYZEN7700</v>
      </c>
    </row>
    <row r="390" spans="1:7" x14ac:dyDescent="0.3">
      <c r="A390" s="13" t="s">
        <v>313</v>
      </c>
      <c r="B390" s="12" t="s">
        <v>312</v>
      </c>
      <c r="C390" s="12">
        <v>1060</v>
      </c>
      <c r="D390" s="14">
        <v>718532.89599999995</v>
      </c>
      <c r="E390" s="14">
        <v>608926.16799999995</v>
      </c>
      <c r="F390" s="14"/>
      <c r="G390" s="12" t="str">
        <f>VLOOKUP(TRIM($A390),principal!$G:$G,1,0)</f>
        <v>RYZEN7700X</v>
      </c>
    </row>
    <row r="391" spans="1:7" x14ac:dyDescent="0.3">
      <c r="A391" s="13" t="s">
        <v>319</v>
      </c>
      <c r="B391" s="12" t="s">
        <v>318</v>
      </c>
      <c r="C391" s="12">
        <v>1060</v>
      </c>
      <c r="D391" s="14">
        <v>824470.40800000005</v>
      </c>
      <c r="E391" s="14">
        <v>698703.70799999998</v>
      </c>
      <c r="F391" s="14"/>
      <c r="G391" s="12" t="str">
        <f>VLOOKUP(TRIM($A391),principal!$G:$G,1,0)</f>
        <v>RYZEN7900X</v>
      </c>
    </row>
    <row r="392" spans="1:7" x14ac:dyDescent="0.3">
      <c r="A392" s="13" t="s">
        <v>301</v>
      </c>
      <c r="B392" s="12" t="s">
        <v>300</v>
      </c>
      <c r="C392" s="12">
        <v>1060</v>
      </c>
      <c r="D392" s="14">
        <v>314358.06800000003</v>
      </c>
      <c r="E392" s="14">
        <v>266405.18</v>
      </c>
      <c r="F392" s="14"/>
      <c r="G392" s="12" t="str">
        <f>VLOOKUP(TRIM($A392),principal!$G:$G,1,0)</f>
        <v>RYZEN8400F</v>
      </c>
    </row>
    <row r="393" spans="1:7" x14ac:dyDescent="0.3">
      <c r="A393" s="13" t="s">
        <v>303</v>
      </c>
      <c r="B393" s="12" t="s">
        <v>302</v>
      </c>
      <c r="C393" s="12">
        <v>1060</v>
      </c>
      <c r="D393" s="14">
        <v>314568.228</v>
      </c>
      <c r="E393" s="14">
        <v>266583.22399999999</v>
      </c>
      <c r="F393" s="14"/>
      <c r="G393" s="12" t="str">
        <f>VLOOKUP(TRIM($A393),principal!$G:$G,1,0)</f>
        <v>RYZEN8500G</v>
      </c>
    </row>
    <row r="394" spans="1:7" x14ac:dyDescent="0.3">
      <c r="A394" s="13" t="s">
        <v>305</v>
      </c>
      <c r="B394" s="12" t="s">
        <v>304</v>
      </c>
      <c r="C394" s="12">
        <v>1060</v>
      </c>
      <c r="D394" s="14">
        <v>398647.62</v>
      </c>
      <c r="E394" s="14">
        <v>337836.93599999999</v>
      </c>
      <c r="F394" s="14"/>
      <c r="G394" s="12" t="str">
        <f>VLOOKUP(TRIM($A394),principal!$G:$G,1,0)</f>
        <v>RYZEN8600G</v>
      </c>
    </row>
    <row r="395" spans="1:7" x14ac:dyDescent="0.3">
      <c r="A395" s="13" t="s">
        <v>315</v>
      </c>
      <c r="B395" s="12" t="s">
        <v>314</v>
      </c>
      <c r="C395" s="12">
        <v>1060</v>
      </c>
      <c r="D395" s="14">
        <v>563771.96</v>
      </c>
      <c r="E395" s="14">
        <v>477772.86</v>
      </c>
      <c r="F395" s="14"/>
      <c r="G395" s="12" t="str">
        <f>VLOOKUP(TRIM($A395),principal!$G:$G,1,0)</f>
        <v>RYZEN8700F</v>
      </c>
    </row>
    <row r="396" spans="1:7" x14ac:dyDescent="0.3">
      <c r="A396" s="13" t="s">
        <v>317</v>
      </c>
      <c r="B396" s="12" t="s">
        <v>316</v>
      </c>
      <c r="C396" s="12">
        <v>1060</v>
      </c>
      <c r="D396" s="14">
        <v>584498.76800000004</v>
      </c>
      <c r="E396" s="14">
        <v>495337.94400000002</v>
      </c>
      <c r="F396" s="14"/>
      <c r="G396" s="12" t="str">
        <f>VLOOKUP(TRIM($A396),principal!$G:$G,1,0)</f>
        <v>RYZEN8700G</v>
      </c>
    </row>
    <row r="397" spans="1:7" x14ac:dyDescent="0.3">
      <c r="A397" s="13" t="s">
        <v>115</v>
      </c>
      <c r="B397" s="12" t="s">
        <v>114</v>
      </c>
      <c r="C397" s="12">
        <v>15</v>
      </c>
      <c r="D397" s="14">
        <v>34582.567999999999</v>
      </c>
      <c r="E397" s="14">
        <v>29307.256000000001</v>
      </c>
      <c r="F397" s="14"/>
      <c r="G397" s="12" t="str">
        <f>VLOOKUP(TRIM($A397),principal!$G:$G,1,0)</f>
        <v>SAMS14V214</v>
      </c>
    </row>
    <row r="398" spans="1:7" x14ac:dyDescent="0.3">
      <c r="A398" s="13" t="s">
        <v>540</v>
      </c>
      <c r="B398" s="12" t="s">
        <v>539</v>
      </c>
      <c r="C398" s="12">
        <v>180</v>
      </c>
      <c r="D398" s="14">
        <v>58853.383999999998</v>
      </c>
      <c r="E398" s="14">
        <v>49875.703999999998</v>
      </c>
      <c r="F398" s="14"/>
      <c r="G398" s="12" t="str">
        <f>VLOOKUP(TRIM($A398),principal!$G:$G,1,0)</f>
        <v>SD256GB</v>
      </c>
    </row>
    <row r="399" spans="1:7" x14ac:dyDescent="0.3">
      <c r="A399" s="13" t="s">
        <v>385</v>
      </c>
      <c r="B399" s="12" t="s">
        <v>384</v>
      </c>
      <c r="C399" s="12">
        <v>360</v>
      </c>
      <c r="D399" s="14">
        <v>142785.36799999999</v>
      </c>
      <c r="E399" s="14">
        <v>121004.504</v>
      </c>
      <c r="F399" s="14"/>
      <c r="G399" s="12" t="str">
        <f>VLOOKUP(TRIM($A399),principal!$G:$G,1,0)</f>
        <v>SEA1000N</v>
      </c>
    </row>
    <row r="400" spans="1:7" x14ac:dyDescent="0.3">
      <c r="A400" s="13" t="s">
        <v>389</v>
      </c>
      <c r="B400" s="12" t="s">
        <v>388</v>
      </c>
      <c r="C400" s="12">
        <v>360</v>
      </c>
      <c r="D400" s="14">
        <v>164433.476</v>
      </c>
      <c r="E400" s="14">
        <v>139350.43599999999</v>
      </c>
      <c r="F400" s="14"/>
      <c r="G400" s="12" t="str">
        <f>VLOOKUP(TRIM($A400),principal!$G:$G,1,0)</f>
        <v>SEA2000V</v>
      </c>
    </row>
    <row r="401" spans="1:7" x14ac:dyDescent="0.3">
      <c r="A401" s="13" t="s">
        <v>29</v>
      </c>
      <c r="B401" s="12" t="s">
        <v>28</v>
      </c>
      <c r="C401" s="12">
        <v>0</v>
      </c>
      <c r="D401" s="14">
        <v>51744.796000000002</v>
      </c>
      <c r="E401" s="14">
        <v>43851.512000000002</v>
      </c>
      <c r="F401" s="14"/>
      <c r="G401" s="12" t="str">
        <f>VLOOKUP(TRIM($A401),principal!$G:$G,1,0)</f>
        <v>SEG00A7</v>
      </c>
    </row>
    <row r="402" spans="1:7" x14ac:dyDescent="0.3">
      <c r="A402" s="13" t="s">
        <v>840</v>
      </c>
      <c r="B402" s="12" t="s">
        <v>839</v>
      </c>
      <c r="C402" s="12">
        <v>15</v>
      </c>
      <c r="D402" s="14">
        <v>14053.784</v>
      </c>
      <c r="E402" s="14">
        <v>11910.004000000001</v>
      </c>
      <c r="F402" s="14"/>
      <c r="G402" s="12" t="str">
        <f>VLOOKUP(TRIM($A402),principal!$G:$G,1,0)</f>
        <v>SLIM230B</v>
      </c>
    </row>
    <row r="403" spans="1:7" x14ac:dyDescent="0.3">
      <c r="A403" s="13" t="s">
        <v>419</v>
      </c>
      <c r="B403" s="12" t="s">
        <v>418</v>
      </c>
      <c r="C403" s="12">
        <v>180</v>
      </c>
      <c r="D403" s="14">
        <v>42139.447999999997</v>
      </c>
      <c r="E403" s="14">
        <v>35711.364000000001</v>
      </c>
      <c r="F403" s="14"/>
      <c r="G403" s="12" t="str">
        <f>VLOOKUP(TRIM($A403),principal!$G:$G,1,0)</f>
        <v>SLIM450W</v>
      </c>
    </row>
    <row r="404" spans="1:7" x14ac:dyDescent="0.3">
      <c r="A404" s="13" t="s">
        <v>379</v>
      </c>
      <c r="B404" s="12" t="s">
        <v>378</v>
      </c>
      <c r="C404" s="12">
        <v>360</v>
      </c>
      <c r="D404" s="14">
        <v>169269.82</v>
      </c>
      <c r="E404" s="14">
        <v>143449</v>
      </c>
      <c r="F404" s="14"/>
      <c r="G404" s="12" t="str">
        <f>VLOOKUP(TRIM($A404),principal!$G:$G,1,0)</f>
        <v>SNVS-500G</v>
      </c>
    </row>
    <row r="405" spans="1:7" x14ac:dyDescent="0.3">
      <c r="A405" s="13" t="s">
        <v>718</v>
      </c>
      <c r="B405" s="12" t="s">
        <v>717</v>
      </c>
      <c r="C405" s="12">
        <v>15</v>
      </c>
      <c r="D405" s="14">
        <v>4098.12</v>
      </c>
      <c r="E405" s="14">
        <v>3472.9679999999998</v>
      </c>
      <c r="F405" s="14"/>
      <c r="G405" s="12" t="str">
        <f>VLOOKUP(TRIM($A405),principal!$G:$G,1,0)</f>
        <v>SO02032</v>
      </c>
    </row>
    <row r="406" spans="1:7" x14ac:dyDescent="0.3">
      <c r="A406" s="13" t="s">
        <v>546</v>
      </c>
      <c r="B406" s="12" t="s">
        <v>545</v>
      </c>
      <c r="C406" s="12">
        <v>180</v>
      </c>
      <c r="D406" s="14">
        <v>58535.48</v>
      </c>
      <c r="E406" s="14">
        <v>49606.343999999997</v>
      </c>
      <c r="F406" s="14"/>
      <c r="G406" s="12" t="str">
        <f>VLOOKUP(TRIM($A406),principal!$G:$G,1,0)</f>
        <v>SODHIK8GB</v>
      </c>
    </row>
    <row r="407" spans="1:7" x14ac:dyDescent="0.3">
      <c r="A407" s="13" t="s">
        <v>686</v>
      </c>
      <c r="B407" s="12" t="s">
        <v>685</v>
      </c>
      <c r="C407" s="12">
        <v>360</v>
      </c>
      <c r="D407" s="14">
        <v>25645.736000000001</v>
      </c>
      <c r="E407" s="14">
        <v>21733.651999999998</v>
      </c>
      <c r="F407" s="14"/>
      <c r="G407" s="12" t="str">
        <f>VLOOKUP(TRIM($A407),principal!$G:$G,1,0)</f>
        <v>SP915BT</v>
      </c>
    </row>
    <row r="408" spans="1:7" x14ac:dyDescent="0.3">
      <c r="A408" s="13" t="s">
        <v>678</v>
      </c>
      <c r="B408" s="12" t="s">
        <v>677</v>
      </c>
      <c r="C408" s="12">
        <v>15</v>
      </c>
      <c r="D408" s="14">
        <v>15828.451999999999</v>
      </c>
      <c r="E408" s="14">
        <v>13413.98</v>
      </c>
      <c r="F408" s="14"/>
      <c r="G408" s="12" t="str">
        <f>VLOOKUP(TRIM($A408),principal!$G:$G,1,0)</f>
        <v>SP-Q160</v>
      </c>
    </row>
    <row r="409" spans="1:7" x14ac:dyDescent="0.3">
      <c r="A409" s="13" t="s">
        <v>680</v>
      </c>
      <c r="B409" s="12" t="s">
        <v>679</v>
      </c>
      <c r="C409" s="12">
        <v>15</v>
      </c>
      <c r="D409" s="14">
        <v>17267.16</v>
      </c>
      <c r="E409" s="14">
        <v>14633.204</v>
      </c>
      <c r="F409" s="14"/>
      <c r="G409" s="12" t="str">
        <f>VLOOKUP(TRIM($A409),principal!$G:$G,1,0)</f>
        <v>SP-U125</v>
      </c>
    </row>
    <row r="410" spans="1:7" x14ac:dyDescent="0.3">
      <c r="A410" s="13" t="s">
        <v>728</v>
      </c>
      <c r="B410" s="12" t="s">
        <v>727</v>
      </c>
      <c r="C410" s="12">
        <v>720</v>
      </c>
      <c r="D410" s="14">
        <v>25205.288</v>
      </c>
      <c r="E410" s="14">
        <v>21360.396000000001</v>
      </c>
      <c r="F410" s="14"/>
      <c r="G410" s="12" t="str">
        <f>VLOOKUP(TRIM($A410),principal!$G:$G,1,0)</f>
        <v>T2E</v>
      </c>
    </row>
    <row r="411" spans="1:7" x14ac:dyDescent="0.3">
      <c r="A411" s="13" t="s">
        <v>732</v>
      </c>
      <c r="B411" s="12" t="s">
        <v>731</v>
      </c>
      <c r="C411" s="12">
        <v>720</v>
      </c>
      <c r="D411" s="14">
        <v>17347.82</v>
      </c>
      <c r="E411" s="14">
        <v>14701.58</v>
      </c>
      <c r="F411" s="14"/>
      <c r="G411" s="12" t="str">
        <f>VLOOKUP(TRIM($A411),principal!$G:$G,1,0)</f>
        <v>T2UNANO</v>
      </c>
    </row>
    <row r="412" spans="1:7" x14ac:dyDescent="0.3">
      <c r="A412" s="13" t="s">
        <v>734</v>
      </c>
      <c r="B412" s="12" t="s">
        <v>733</v>
      </c>
      <c r="C412" s="12">
        <v>360</v>
      </c>
      <c r="D412" s="14">
        <v>30252.531999999999</v>
      </c>
      <c r="E412" s="14">
        <v>25637.743999999999</v>
      </c>
      <c r="F412" s="14"/>
      <c r="G412" s="12" t="str">
        <f>VLOOKUP(TRIM($A412),principal!$G:$G,1,0)</f>
        <v>T3U</v>
      </c>
    </row>
    <row r="413" spans="1:7" x14ac:dyDescent="0.3">
      <c r="A413" s="13" t="s">
        <v>141</v>
      </c>
      <c r="B413" s="12" t="s">
        <v>140</v>
      </c>
      <c r="C413" s="12">
        <v>0</v>
      </c>
      <c r="D413" s="14">
        <v>36993.487999999998</v>
      </c>
      <c r="E413" s="14">
        <v>31350.396000000001</v>
      </c>
      <c r="F413" s="14"/>
      <c r="G413" s="12" t="str">
        <f>VLOOKUP(TRIM($A413),principal!$G:$G,1,0)</f>
        <v>T504120</v>
      </c>
    </row>
    <row r="414" spans="1:7" x14ac:dyDescent="0.3">
      <c r="A414" s="13" t="s">
        <v>137</v>
      </c>
      <c r="B414" s="12" t="s">
        <v>136</v>
      </c>
      <c r="C414" s="12">
        <v>0</v>
      </c>
      <c r="D414" s="14">
        <v>23348.184000000001</v>
      </c>
      <c r="E414" s="14">
        <v>19786.563999999998</v>
      </c>
      <c r="F414" s="14"/>
      <c r="G414" s="12" t="str">
        <f>VLOOKUP(TRIM($A414),principal!$G:$G,1,0)</f>
        <v>T504220</v>
      </c>
    </row>
    <row r="415" spans="1:7" x14ac:dyDescent="0.3">
      <c r="A415" s="13" t="s">
        <v>139</v>
      </c>
      <c r="B415" s="12" t="s">
        <v>138</v>
      </c>
      <c r="C415" s="12">
        <v>0</v>
      </c>
      <c r="D415" s="14">
        <v>23348.184000000001</v>
      </c>
      <c r="E415" s="14">
        <v>19786.563999999998</v>
      </c>
      <c r="F415" s="14"/>
      <c r="G415" s="12" t="str">
        <f>VLOOKUP(TRIM($A415),principal!$G:$G,1,0)</f>
        <v>T504320</v>
      </c>
    </row>
    <row r="416" spans="1:7" x14ac:dyDescent="0.3">
      <c r="A416" s="13" t="s">
        <v>135</v>
      </c>
      <c r="B416" s="12" t="s">
        <v>134</v>
      </c>
      <c r="C416" s="12">
        <v>0</v>
      </c>
      <c r="D416" s="14">
        <v>23348.184000000001</v>
      </c>
      <c r="E416" s="14">
        <v>19786.563999999998</v>
      </c>
      <c r="F416" s="14"/>
      <c r="G416" s="12" t="str">
        <f>VLOOKUP(TRIM($A416),principal!$G:$G,1,0)</f>
        <v>T504420</v>
      </c>
    </row>
    <row r="417" spans="1:7" x14ac:dyDescent="0.3">
      <c r="A417" s="13" t="s">
        <v>127</v>
      </c>
      <c r="B417" s="12" t="s">
        <v>126</v>
      </c>
      <c r="C417" s="12">
        <v>0</v>
      </c>
      <c r="D417" s="14">
        <v>37019.684000000001</v>
      </c>
      <c r="E417" s="14">
        <v>31372.596000000001</v>
      </c>
      <c r="F417" s="14"/>
      <c r="G417" s="12" t="str">
        <f>VLOOKUP(TRIM($A417),principal!$G:$G,1,0)</f>
        <v>T544120</v>
      </c>
    </row>
    <row r="418" spans="1:7" x14ac:dyDescent="0.3">
      <c r="A418" s="13" t="s">
        <v>133</v>
      </c>
      <c r="B418" s="12" t="s">
        <v>132</v>
      </c>
      <c r="C418" s="12">
        <v>0</v>
      </c>
      <c r="D418" s="14">
        <v>28840.612000000001</v>
      </c>
      <c r="E418" s="14">
        <v>24441.164000000001</v>
      </c>
      <c r="F418" s="14"/>
      <c r="G418" s="12" t="str">
        <f>VLOOKUP(TRIM($A418),principal!$G:$G,1,0)</f>
        <v>T544220</v>
      </c>
    </row>
    <row r="419" spans="1:7" x14ac:dyDescent="0.3">
      <c r="A419" s="13" t="s">
        <v>129</v>
      </c>
      <c r="B419" s="12" t="s">
        <v>128</v>
      </c>
      <c r="C419" s="12">
        <v>0</v>
      </c>
      <c r="D419" s="14">
        <v>28987.871999999999</v>
      </c>
      <c r="E419" s="14">
        <v>24565.928</v>
      </c>
      <c r="F419" s="14"/>
      <c r="G419" s="12" t="str">
        <f>VLOOKUP(TRIM($A419),principal!$G:$G,1,0)</f>
        <v>T544320</v>
      </c>
    </row>
    <row r="420" spans="1:7" x14ac:dyDescent="0.3">
      <c r="A420" s="13" t="s">
        <v>131</v>
      </c>
      <c r="B420" s="12" t="s">
        <v>130</v>
      </c>
      <c r="C420" s="12">
        <v>0</v>
      </c>
      <c r="D420" s="14">
        <v>28840.612000000001</v>
      </c>
      <c r="E420" s="14">
        <v>24441.164000000001</v>
      </c>
      <c r="F420" s="14"/>
      <c r="G420" s="12" t="str">
        <f>VLOOKUP(TRIM($A420),principal!$G:$G,1,0)</f>
        <v>T544420</v>
      </c>
    </row>
    <row r="421" spans="1:7" x14ac:dyDescent="0.3">
      <c r="A421" s="13" t="s">
        <v>828</v>
      </c>
      <c r="B421" s="12" t="s">
        <v>827</v>
      </c>
      <c r="C421" s="12">
        <v>180</v>
      </c>
      <c r="D421" s="14">
        <v>86948.372000000003</v>
      </c>
      <c r="E421" s="14">
        <v>73685.055999999997</v>
      </c>
      <c r="F421" s="14"/>
      <c r="G421" s="12" t="str">
        <f>VLOOKUP(TRIM($A421),principal!$G:$G,1,0)</f>
        <v>TACI608</v>
      </c>
    </row>
    <row r="422" spans="1:7" x14ac:dyDescent="0.3">
      <c r="A422" s="13" t="s">
        <v>85</v>
      </c>
      <c r="B422" s="12" t="s">
        <v>84</v>
      </c>
      <c r="C422" s="12">
        <v>360</v>
      </c>
      <c r="D422" s="14">
        <v>33439.415999999997</v>
      </c>
      <c r="E422" s="14">
        <v>28338.448</v>
      </c>
      <c r="F422" s="14"/>
      <c r="G422" s="12" t="str">
        <f>VLOOKUP(TRIM($A422),principal!$G:$G,1,0)</f>
        <v>TAPOC100</v>
      </c>
    </row>
    <row r="423" spans="1:7" x14ac:dyDescent="0.3">
      <c r="A423" s="13" t="s">
        <v>87</v>
      </c>
      <c r="B423" s="12" t="s">
        <v>86</v>
      </c>
      <c r="C423" s="12">
        <v>360</v>
      </c>
      <c r="D423" s="14">
        <v>38150.699999999997</v>
      </c>
      <c r="E423" s="14">
        <v>32331.044000000002</v>
      </c>
      <c r="F423" s="14"/>
      <c r="G423" s="12" t="str">
        <f>VLOOKUP(TRIM($A423),principal!$G:$G,1,0)</f>
        <v>TAPOC200</v>
      </c>
    </row>
    <row r="424" spans="1:7" x14ac:dyDescent="0.3">
      <c r="A424" s="13" t="s">
        <v>89</v>
      </c>
      <c r="B424" s="12" t="s">
        <v>88</v>
      </c>
      <c r="C424" s="12">
        <v>360</v>
      </c>
      <c r="D424" s="14">
        <v>66407.156000000003</v>
      </c>
      <c r="E424" s="14">
        <v>56277.296000000002</v>
      </c>
      <c r="F424" s="14"/>
      <c r="G424" s="12" t="str">
        <f>VLOOKUP(TRIM($A424),principal!$G:$G,1,0)</f>
        <v>TAPOC510W</v>
      </c>
    </row>
    <row r="425" spans="1:7" x14ac:dyDescent="0.3">
      <c r="A425" s="13" t="s">
        <v>850</v>
      </c>
      <c r="B425" s="12" t="s">
        <v>849</v>
      </c>
      <c r="C425" s="12">
        <v>15</v>
      </c>
      <c r="D425" s="14">
        <v>16178.915999999999</v>
      </c>
      <c r="E425" s="14">
        <v>13711.016</v>
      </c>
      <c r="F425" s="14"/>
      <c r="G425" s="12" t="str">
        <f>VLOOKUP(TRIM($A425),principal!$G:$G,1,0)</f>
        <v>TCKM100</v>
      </c>
    </row>
    <row r="426" spans="1:7" x14ac:dyDescent="0.3">
      <c r="A426" s="13" t="s">
        <v>858</v>
      </c>
      <c r="B426" s="12" t="s">
        <v>857</v>
      </c>
      <c r="C426" s="12">
        <v>15</v>
      </c>
      <c r="D426" s="14">
        <v>36692.160000000003</v>
      </c>
      <c r="E426" s="14">
        <v>31095.096000000001</v>
      </c>
      <c r="F426" s="14"/>
      <c r="G426" s="12" t="str">
        <f>VLOOKUP(TRIM($A426),principal!$G:$G,1,0)</f>
        <v>TCMK235</v>
      </c>
    </row>
    <row r="427" spans="1:7" x14ac:dyDescent="0.3">
      <c r="A427" s="13" t="s">
        <v>860</v>
      </c>
      <c r="B427" s="12" t="s">
        <v>859</v>
      </c>
      <c r="C427" s="12">
        <v>15</v>
      </c>
      <c r="D427" s="14">
        <v>41595.4</v>
      </c>
      <c r="E427" s="14">
        <v>35250.343999999997</v>
      </c>
      <c r="F427" s="14"/>
      <c r="G427" s="12" t="str">
        <f>VLOOKUP(TRIM($A427),principal!$G:$G,1,0)</f>
        <v>TCMK270</v>
      </c>
    </row>
    <row r="428" spans="1:7" x14ac:dyDescent="0.3">
      <c r="A428" s="13" t="s">
        <v>846</v>
      </c>
      <c r="B428" s="12" t="s">
        <v>845</v>
      </c>
      <c r="C428" s="12">
        <v>180</v>
      </c>
      <c r="D428" s="14">
        <v>17555.168000000001</v>
      </c>
      <c r="E428" s="14">
        <v>14877.255999999999</v>
      </c>
      <c r="F428" s="14"/>
      <c r="G428" s="12" t="str">
        <f>VLOOKUP(TRIM($A428),principal!$G:$G,1,0)</f>
        <v>TE7200</v>
      </c>
    </row>
    <row r="429" spans="1:7" x14ac:dyDescent="0.3">
      <c r="A429" s="13" t="s">
        <v>842</v>
      </c>
      <c r="B429" s="12" t="s">
        <v>841</v>
      </c>
      <c r="C429" s="12">
        <v>180</v>
      </c>
      <c r="D429" s="14">
        <v>14991.067999999999</v>
      </c>
      <c r="E429" s="14">
        <v>12704.32</v>
      </c>
      <c r="F429" s="14"/>
      <c r="G429" s="12" t="str">
        <f>VLOOKUP(TRIM($A429),principal!$G:$G,1,0)</f>
        <v>TE820</v>
      </c>
    </row>
    <row r="430" spans="1:7" x14ac:dyDescent="0.3">
      <c r="A430" s="13" t="s">
        <v>802</v>
      </c>
      <c r="B430" s="12" t="s">
        <v>801</v>
      </c>
      <c r="C430" s="12">
        <v>720</v>
      </c>
      <c r="D430" s="14">
        <v>182857.40400000001</v>
      </c>
      <c r="E430" s="14">
        <v>154963.84400000001</v>
      </c>
      <c r="F430" s="14"/>
      <c r="G430" s="12" t="str">
        <f>VLOOKUP(TRIM($A430),principal!$G:$G,1,0)</f>
        <v>TL-SG1024D</v>
      </c>
    </row>
    <row r="431" spans="1:7" x14ac:dyDescent="0.3">
      <c r="A431" s="13" t="s">
        <v>896</v>
      </c>
      <c r="B431" s="12" t="s">
        <v>895</v>
      </c>
      <c r="C431" s="12">
        <v>30</v>
      </c>
      <c r="D431" s="14">
        <v>9722.4159999999993</v>
      </c>
      <c r="E431" s="14">
        <v>8239.4560000000001</v>
      </c>
      <c r="F431" s="14"/>
      <c r="G431" s="12" t="str">
        <f>VLOOKUP(TRIM($A431),principal!$G:$G,1,0)</f>
        <v>TN2370</v>
      </c>
    </row>
    <row r="432" spans="1:7" ht="28.8" x14ac:dyDescent="0.3">
      <c r="A432" s="13" t="s">
        <v>884</v>
      </c>
      <c r="B432" s="12" t="s">
        <v>883</v>
      </c>
      <c r="C432" s="12">
        <v>30</v>
      </c>
      <c r="D432" s="14">
        <v>33111.004000000001</v>
      </c>
      <c r="E432" s="14">
        <v>28060.06</v>
      </c>
      <c r="F432" s="14"/>
      <c r="G432" s="12" t="str">
        <f>VLOOKUP(TRIM($A432),principal!$G:$G,1,0)</f>
        <v xml:space="preserve">TN350O
</v>
      </c>
    </row>
    <row r="433" spans="1:7" x14ac:dyDescent="0.3">
      <c r="A433" s="13" t="s">
        <v>880</v>
      </c>
      <c r="B433" s="12" t="s">
        <v>879</v>
      </c>
      <c r="C433" s="12">
        <v>30</v>
      </c>
      <c r="D433" s="14">
        <v>33111.004000000001</v>
      </c>
      <c r="E433" s="14">
        <v>28060.06</v>
      </c>
      <c r="F433" s="14"/>
      <c r="G433" s="12" t="str">
        <f>VLOOKUP(TRIM($A433),principal!$G:$G,1,0)</f>
        <v>TN360</v>
      </c>
    </row>
    <row r="434" spans="1:7" x14ac:dyDescent="0.3">
      <c r="A434" s="13" t="s">
        <v>886</v>
      </c>
      <c r="B434" s="12" t="s">
        <v>885</v>
      </c>
      <c r="C434" s="12">
        <v>30</v>
      </c>
      <c r="D434" s="14">
        <v>21635.527999999998</v>
      </c>
      <c r="E434" s="14">
        <v>18335.128000000001</v>
      </c>
      <c r="F434" s="14"/>
      <c r="G434" s="12" t="str">
        <f>VLOOKUP(TRIM($A434),principal!$G:$G,1,0)</f>
        <v>TN580</v>
      </c>
    </row>
    <row r="435" spans="1:7" x14ac:dyDescent="0.3">
      <c r="A435" s="13" t="s">
        <v>900</v>
      </c>
      <c r="B435" s="12" t="s">
        <v>899</v>
      </c>
      <c r="C435" s="12">
        <v>30</v>
      </c>
      <c r="D435" s="14">
        <v>19084.008000000002</v>
      </c>
      <c r="E435" s="14">
        <v>16172.995999999999</v>
      </c>
      <c r="F435" s="14"/>
      <c r="G435" s="12" t="str">
        <f>VLOOKUP(TRIM($A435),principal!$G:$G,1,0)</f>
        <v>TN880</v>
      </c>
    </row>
    <row r="436" spans="1:7" x14ac:dyDescent="0.3">
      <c r="A436" s="13" t="s">
        <v>93</v>
      </c>
      <c r="B436" s="12" t="s">
        <v>92</v>
      </c>
      <c r="C436" s="12">
        <v>15</v>
      </c>
      <c r="D436" s="14">
        <v>33373.408000000003</v>
      </c>
      <c r="E436" s="14">
        <v>28282.651999999998</v>
      </c>
      <c r="F436" s="14"/>
      <c r="G436" s="12" t="str">
        <f>VLOOKUP(TRIM($A436),principal!$G:$G,1,0)</f>
        <v>TOS19V342</v>
      </c>
    </row>
    <row r="437" spans="1:7" x14ac:dyDescent="0.3">
      <c r="A437" s="13" t="s">
        <v>592</v>
      </c>
      <c r="B437" s="12" t="s">
        <v>591</v>
      </c>
      <c r="C437" s="12">
        <v>15</v>
      </c>
      <c r="D437" s="14">
        <v>32139.828000000001</v>
      </c>
      <c r="E437" s="14">
        <v>27237.18</v>
      </c>
      <c r="F437" s="14"/>
      <c r="G437" s="12" t="str">
        <f>VLOOKUP(TRIM($A437),principal!$G:$G,1,0)</f>
        <v>TRUSTGTX108</v>
      </c>
    </row>
    <row r="438" spans="1:7" x14ac:dyDescent="0.3">
      <c r="A438" s="13" t="s">
        <v>862</v>
      </c>
      <c r="B438" s="12" t="s">
        <v>861</v>
      </c>
      <c r="C438" s="12">
        <v>15</v>
      </c>
      <c r="D438" s="14">
        <v>119944.67600000001</v>
      </c>
      <c r="E438" s="14">
        <v>101648.02800000001</v>
      </c>
      <c r="F438" s="14"/>
      <c r="G438" s="12" t="str">
        <f>VLOOKUP(TRIM($A438),principal!$G:$G,1,0)</f>
        <v>TRUSTQOBY</v>
      </c>
    </row>
    <row r="439" spans="1:7" x14ac:dyDescent="0.3">
      <c r="A439" s="13" t="s">
        <v>594</v>
      </c>
      <c r="B439" s="12" t="s">
        <v>593</v>
      </c>
      <c r="C439" s="12">
        <v>15</v>
      </c>
      <c r="D439" s="14">
        <v>27947.727999999999</v>
      </c>
      <c r="E439" s="14">
        <v>23684.44</v>
      </c>
      <c r="F439" s="14"/>
      <c r="G439" s="12" t="str">
        <f>VLOOKUP(TRIM($A439),principal!$G:$G,1,0)</f>
        <v>TRUSTRIXA</v>
      </c>
    </row>
    <row r="440" spans="1:7" x14ac:dyDescent="0.3">
      <c r="A440" s="13" t="s">
        <v>738</v>
      </c>
      <c r="B440" s="12" t="s">
        <v>737</v>
      </c>
      <c r="C440" s="12">
        <v>720</v>
      </c>
      <c r="D440" s="14">
        <v>25606.812000000002</v>
      </c>
      <c r="E440" s="14">
        <v>21700.795999999998</v>
      </c>
      <c r="F440" s="14"/>
      <c r="G440" s="12" t="str">
        <f>VLOOKUP(TRIM($A440),principal!$G:$G,1,0)</f>
        <v>TX10UB</v>
      </c>
    </row>
    <row r="441" spans="1:7" x14ac:dyDescent="0.3">
      <c r="A441" s="13" t="s">
        <v>740</v>
      </c>
      <c r="B441" s="12" t="s">
        <v>739</v>
      </c>
      <c r="C441" s="12">
        <v>720</v>
      </c>
      <c r="D441" s="14">
        <v>31094.207999999999</v>
      </c>
      <c r="E441" s="14">
        <v>26351.103999999999</v>
      </c>
      <c r="F441" s="14"/>
      <c r="G441" s="12" t="str">
        <f>VLOOKUP(TRIM($A441),principal!$G:$G,1,0)</f>
        <v>TX20U</v>
      </c>
    </row>
    <row r="442" spans="1:7" x14ac:dyDescent="0.3">
      <c r="A442" s="13" t="s">
        <v>814</v>
      </c>
      <c r="B442" s="12" t="s">
        <v>813</v>
      </c>
      <c r="C442" s="12">
        <v>10</v>
      </c>
      <c r="D442" s="14">
        <v>37029.008000000002</v>
      </c>
      <c r="E442" s="14">
        <v>31380.588</v>
      </c>
      <c r="F442" s="14"/>
      <c r="G442" s="12" t="str">
        <f>VLOOKUP(TRIM($A442),principal!$G:$G,1,0)</f>
        <v>U4805726471518</v>
      </c>
    </row>
    <row r="443" spans="1:7" x14ac:dyDescent="0.3">
      <c r="A443" s="13" t="s">
        <v>750</v>
      </c>
      <c r="B443" s="12" t="s">
        <v>749</v>
      </c>
      <c r="C443" s="12">
        <v>360</v>
      </c>
      <c r="D443" s="14">
        <v>18242.331999999999</v>
      </c>
      <c r="E443" s="14">
        <v>15459.487999999999</v>
      </c>
      <c r="F443" s="14"/>
      <c r="G443" s="12" t="str">
        <f>VLOOKUP(TRIM($A443),principal!$G:$G,1,0)</f>
        <v>U845973001049</v>
      </c>
    </row>
    <row r="444" spans="1:7" x14ac:dyDescent="0.3">
      <c r="A444" s="13" t="s">
        <v>790</v>
      </c>
      <c r="B444" s="12" t="s">
        <v>789</v>
      </c>
      <c r="C444" s="12">
        <v>720</v>
      </c>
      <c r="D444" s="14">
        <v>16302.791999999999</v>
      </c>
      <c r="E444" s="14">
        <v>13815.948</v>
      </c>
      <c r="F444" s="14"/>
      <c r="G444" s="12" t="str">
        <f>VLOOKUP(TRIM($A444),principal!$G:$G,1,0)</f>
        <v>U845973020064</v>
      </c>
    </row>
    <row r="445" spans="1:7" x14ac:dyDescent="0.3">
      <c r="A445" s="13" t="s">
        <v>792</v>
      </c>
      <c r="B445" s="12" t="s">
        <v>791</v>
      </c>
      <c r="C445" s="12">
        <v>720</v>
      </c>
      <c r="D445" s="14">
        <v>18953.027999999998</v>
      </c>
      <c r="E445" s="14">
        <v>16061.848</v>
      </c>
      <c r="F445" s="14"/>
      <c r="G445" s="12" t="str">
        <f>VLOOKUP(TRIM($A445),principal!$G:$G,1,0)</f>
        <v>U845973020071</v>
      </c>
    </row>
    <row r="446" spans="1:7" x14ac:dyDescent="0.3">
      <c r="A446" s="13" t="s">
        <v>730</v>
      </c>
      <c r="B446" s="12" t="s">
        <v>729</v>
      </c>
      <c r="C446" s="12">
        <v>360</v>
      </c>
      <c r="D446" s="14">
        <v>17502.48</v>
      </c>
      <c r="E446" s="14">
        <v>14832.56</v>
      </c>
      <c r="F446" s="14"/>
      <c r="G446" s="12" t="str">
        <f>VLOOKUP(TRIM($A446),principal!$G:$G,1,0)</f>
        <v>U845973050696</v>
      </c>
    </row>
    <row r="447" spans="1:7" x14ac:dyDescent="0.3">
      <c r="A447" s="13" t="s">
        <v>736</v>
      </c>
      <c r="B447" s="12" t="s">
        <v>735</v>
      </c>
      <c r="C447" s="12">
        <v>720</v>
      </c>
      <c r="D447" s="14">
        <v>12708.316000000001</v>
      </c>
      <c r="E447" s="14">
        <v>10769.812</v>
      </c>
      <c r="F447" s="14"/>
      <c r="G447" s="12" t="str">
        <f>VLOOKUP(TRIM($A447),principal!$G:$G,1,0)</f>
        <v>U845973050719</v>
      </c>
    </row>
    <row r="448" spans="1:7" x14ac:dyDescent="0.3">
      <c r="A448" s="13" t="s">
        <v>11</v>
      </c>
      <c r="B448" s="12" t="s">
        <v>1878</v>
      </c>
      <c r="C448" s="12">
        <v>180</v>
      </c>
      <c r="D448" s="14">
        <v>28987.279999999999</v>
      </c>
      <c r="E448" s="14">
        <v>24565.484</v>
      </c>
      <c r="F448" s="14"/>
      <c r="G448" s="12" t="str">
        <f>VLOOKUP(TRIM($A448),principal!$G:$G,1,0)</f>
        <v>UA520C</v>
      </c>
    </row>
    <row r="449" spans="1:7" x14ac:dyDescent="0.3">
      <c r="A449" s="13" t="s">
        <v>10</v>
      </c>
      <c r="B449" s="12" t="s">
        <v>1877</v>
      </c>
      <c r="C449" s="12">
        <v>180</v>
      </c>
      <c r="D449" s="14">
        <v>11575.08</v>
      </c>
      <c r="E449" s="14">
        <v>9809.2919999999995</v>
      </c>
      <c r="F449" s="14"/>
      <c r="G449" s="12" t="str">
        <f>VLOOKUP(TRIM($A449),principal!$G:$G,1,0)</f>
        <v>UB500PLUS</v>
      </c>
    </row>
    <row r="450" spans="1:7" x14ac:dyDescent="0.3">
      <c r="A450" s="13" t="s">
        <v>744</v>
      </c>
      <c r="B450" s="12" t="s">
        <v>743</v>
      </c>
      <c r="C450" s="12">
        <v>180</v>
      </c>
      <c r="D450" s="14">
        <v>19965.495999999999</v>
      </c>
      <c r="E450" s="14">
        <v>16919.804</v>
      </c>
      <c r="F450" s="14"/>
      <c r="G450" s="12" t="str">
        <f>VLOOKUP(TRIM($A450),principal!$G:$G,1,0)</f>
        <v>UE200</v>
      </c>
    </row>
    <row r="451" spans="1:7" x14ac:dyDescent="0.3">
      <c r="A451" s="13" t="s">
        <v>742</v>
      </c>
      <c r="B451" s="12" t="s">
        <v>741</v>
      </c>
      <c r="C451" s="12">
        <v>180</v>
      </c>
      <c r="D451" s="14">
        <v>25017.328000000001</v>
      </c>
      <c r="E451" s="14">
        <v>21201.148000000001</v>
      </c>
      <c r="F451" s="14"/>
      <c r="G451" s="12" t="str">
        <f>VLOOKUP(TRIM($A451),principal!$G:$G,1,0)</f>
        <v>UE300</v>
      </c>
    </row>
    <row r="452" spans="1:7" x14ac:dyDescent="0.3">
      <c r="A452" s="13" t="s">
        <v>746</v>
      </c>
      <c r="B452" s="12" t="s">
        <v>745</v>
      </c>
      <c r="C452" s="12">
        <v>180</v>
      </c>
      <c r="D452" s="14">
        <v>24716.148000000001</v>
      </c>
      <c r="E452" s="14">
        <v>20945.848000000002</v>
      </c>
      <c r="F452" s="14"/>
      <c r="G452" s="12" t="str">
        <f>VLOOKUP(TRIM($A452),principal!$G:$G,1,0)</f>
        <v>UE300C</v>
      </c>
    </row>
    <row r="453" spans="1:7" x14ac:dyDescent="0.3">
      <c r="A453" s="13" t="s">
        <v>748</v>
      </c>
      <c r="B453" s="12" t="s">
        <v>747</v>
      </c>
      <c r="C453" s="12">
        <v>180</v>
      </c>
      <c r="D453" s="14">
        <v>39933.803999999996</v>
      </c>
      <c r="E453" s="14">
        <v>33842.271999999997</v>
      </c>
      <c r="F453" s="14"/>
      <c r="G453" s="12" t="str">
        <f>VLOOKUP(TRIM($A453),principal!$G:$G,1,0)</f>
        <v>UE330</v>
      </c>
    </row>
    <row r="454" spans="1:7" x14ac:dyDescent="0.3">
      <c r="A454" s="13" t="s">
        <v>79</v>
      </c>
      <c r="B454" s="12" t="s">
        <v>78</v>
      </c>
      <c r="C454" s="12">
        <v>15</v>
      </c>
      <c r="D454" s="14">
        <v>15368.616</v>
      </c>
      <c r="E454" s="14">
        <v>13024.147999999999</v>
      </c>
      <c r="F454" s="14"/>
      <c r="G454" s="12" t="str">
        <f>VLOOKUP(TRIM($A454),principal!$G:$G,1,0)</f>
        <v>USBA_A</v>
      </c>
    </row>
    <row r="455" spans="1:7" x14ac:dyDescent="0.3">
      <c r="A455" s="13" t="s">
        <v>616</v>
      </c>
      <c r="B455" s="12" t="s">
        <v>615</v>
      </c>
      <c r="C455" s="12">
        <v>360</v>
      </c>
      <c r="D455" s="14">
        <v>998241.20400000003</v>
      </c>
      <c r="E455" s="14">
        <v>891286.78399999999</v>
      </c>
      <c r="F455" s="14"/>
      <c r="G455" s="12" t="str">
        <f>VLOOKUP(TRIM($A455),principal!$G:$G,1,0)</f>
        <v>V15R37320U</v>
      </c>
    </row>
    <row r="456" spans="1:7" x14ac:dyDescent="0.3">
      <c r="A456" s="13" t="s">
        <v>570</v>
      </c>
      <c r="B456" s="12" t="s">
        <v>569</v>
      </c>
      <c r="C456" s="12">
        <v>365</v>
      </c>
      <c r="D456" s="14">
        <v>290009.99599999998</v>
      </c>
      <c r="E456" s="14">
        <v>245771.16800000001</v>
      </c>
      <c r="F456" s="14"/>
      <c r="G456" s="12" t="str">
        <f>VLOOKUP(TRIM($A456),principal!$G:$G,1,0)</f>
        <v>VA27EHF-J</v>
      </c>
    </row>
    <row r="457" spans="1:7" x14ac:dyDescent="0.3">
      <c r="A457" s="13" t="s">
        <v>1012</v>
      </c>
      <c r="B457" s="12" t="s">
        <v>1011</v>
      </c>
      <c r="C457" s="12">
        <v>360</v>
      </c>
      <c r="D457" s="14">
        <v>76367.555999999997</v>
      </c>
      <c r="E457" s="14">
        <v>64718.328000000001</v>
      </c>
      <c r="F457" s="14"/>
      <c r="G457" s="12" t="str">
        <f>VLOOKUP(TRIM($A457),principal!$G:$G,1,0)</f>
        <v>VCZG210B</v>
      </c>
    </row>
    <row r="458" spans="1:7" x14ac:dyDescent="0.3">
      <c r="A458" s="13" t="s">
        <v>1006</v>
      </c>
      <c r="B458" s="12" t="s">
        <v>1005</v>
      </c>
      <c r="C458" s="12">
        <v>0</v>
      </c>
      <c r="D458" s="14">
        <v>19438.616000000002</v>
      </c>
      <c r="E458" s="14">
        <v>16473.436000000002</v>
      </c>
      <c r="F458" s="14"/>
      <c r="G458" s="12" t="str">
        <f>VLOOKUP(TRIM($A458),principal!$G:$G,1,0)</f>
        <v>VE00041</v>
      </c>
    </row>
    <row r="459" spans="1:7" x14ac:dyDescent="0.3">
      <c r="A459" s="13" t="s">
        <v>1004</v>
      </c>
      <c r="B459" s="12" t="s">
        <v>1003</v>
      </c>
      <c r="C459" s="12">
        <v>0</v>
      </c>
      <c r="D459" s="14">
        <v>28778.6</v>
      </c>
      <c r="E459" s="14">
        <v>24388.624</v>
      </c>
      <c r="F459" s="14"/>
      <c r="G459" s="12" t="str">
        <f>VLOOKUP(TRIM($A459),principal!$G:$G,1,0)</f>
        <v>VECL1200</v>
      </c>
    </row>
    <row r="460" spans="1:7" x14ac:dyDescent="0.3">
      <c r="A460" s="13" t="s">
        <v>1018</v>
      </c>
      <c r="B460" s="12" t="s">
        <v>1017</v>
      </c>
      <c r="C460" s="12">
        <v>360</v>
      </c>
      <c r="D460" s="14">
        <v>819798.196</v>
      </c>
      <c r="E460" s="14">
        <v>694744.26399999997</v>
      </c>
      <c r="F460" s="14"/>
      <c r="G460" s="12" t="str">
        <f>VLOOKUP(TRIM($A460),principal!$G:$G,1,0)</f>
        <v>VENTUS5060</v>
      </c>
    </row>
    <row r="461" spans="1:7" x14ac:dyDescent="0.3">
      <c r="A461" s="13" t="s">
        <v>568</v>
      </c>
      <c r="B461" s="12" t="s">
        <v>567</v>
      </c>
      <c r="C461" s="12">
        <v>365</v>
      </c>
      <c r="D461" s="14">
        <v>317433.212</v>
      </c>
      <c r="E461" s="14">
        <v>269011.16399999999</v>
      </c>
      <c r="F461" s="14"/>
      <c r="G461" s="12" t="str">
        <f>VLOOKUP(TRIM($A461),principal!$G:$G,1,0)</f>
        <v>VG249QL3A</v>
      </c>
    </row>
    <row r="462" spans="1:7" x14ac:dyDescent="0.3">
      <c r="A462" s="13" t="s">
        <v>441</v>
      </c>
      <c r="B462" s="12" t="s">
        <v>440</v>
      </c>
      <c r="C462" s="12">
        <v>180</v>
      </c>
      <c r="D462" s="14">
        <v>66991.460000000006</v>
      </c>
      <c r="E462" s="14">
        <v>56772.356</v>
      </c>
      <c r="F462" s="14"/>
      <c r="G462" s="12" t="str">
        <f>VLOOKUP(TRIM($A462),principal!$G:$G,1,0)</f>
        <v>VIEWMAX270</v>
      </c>
    </row>
    <row r="463" spans="1:7" x14ac:dyDescent="0.3">
      <c r="A463" s="13" t="s">
        <v>447</v>
      </c>
      <c r="B463" s="12" t="s">
        <v>446</v>
      </c>
      <c r="C463" s="12">
        <v>180</v>
      </c>
      <c r="D463" s="14">
        <v>69401.64</v>
      </c>
      <c r="E463" s="14">
        <v>58815.052000000003</v>
      </c>
      <c r="F463" s="14"/>
      <c r="G463" s="12" t="str">
        <f>VLOOKUP(TRIM($A463),principal!$G:$G,1,0)</f>
        <v>VORTEXRGB</v>
      </c>
    </row>
    <row r="464" spans="1:7" x14ac:dyDescent="0.3">
      <c r="A464" s="13" t="s">
        <v>916</v>
      </c>
      <c r="B464" s="12" t="s">
        <v>915</v>
      </c>
      <c r="C464" s="12">
        <v>30</v>
      </c>
      <c r="D464" s="14">
        <v>10347.716</v>
      </c>
      <c r="E464" s="14">
        <v>8769.2960000000003</v>
      </c>
      <c r="F464" s="14"/>
      <c r="G464" s="12" t="str">
        <f>VLOOKUP(TRIM($A464),principal!$G:$G,1,0)</f>
        <v>W1103A</v>
      </c>
    </row>
    <row r="465" spans="1:7" x14ac:dyDescent="0.3">
      <c r="A465" s="13" t="s">
        <v>910</v>
      </c>
      <c r="B465" s="12" t="s">
        <v>909</v>
      </c>
      <c r="C465" s="12">
        <v>30</v>
      </c>
      <c r="D465" s="14">
        <v>11438.92</v>
      </c>
      <c r="E465" s="14">
        <v>9694</v>
      </c>
      <c r="F465" s="14"/>
      <c r="G465" s="12" t="str">
        <f>VLOOKUP(TRIM($A465),principal!$G:$G,1,0)</f>
        <v>W1105A</v>
      </c>
    </row>
    <row r="466" spans="1:7" x14ac:dyDescent="0.3">
      <c r="A466" s="13" t="s">
        <v>914</v>
      </c>
      <c r="B466" s="12" t="s">
        <v>913</v>
      </c>
      <c r="C466" s="12">
        <v>30</v>
      </c>
      <c r="D466" s="14">
        <v>19668.164000000001</v>
      </c>
      <c r="E466" s="14">
        <v>16667.907999999999</v>
      </c>
      <c r="F466" s="14"/>
      <c r="G466" s="12" t="str">
        <f>VLOOKUP(TRIM($A466),principal!$G:$G,1,0)</f>
        <v>W1105A-NO5K</v>
      </c>
    </row>
    <row r="467" spans="1:7" x14ac:dyDescent="0.3">
      <c r="A467" s="13" t="s">
        <v>912</v>
      </c>
      <c r="B467" s="12" t="s">
        <v>911</v>
      </c>
      <c r="C467" s="12">
        <v>30</v>
      </c>
      <c r="D467" s="14">
        <v>11652.335999999999</v>
      </c>
      <c r="E467" s="14">
        <v>9874.8559999999998</v>
      </c>
      <c r="F467" s="14"/>
      <c r="G467" s="12" t="str">
        <f>VLOOKUP(TRIM($A467),principal!$G:$G,1,0)</f>
        <v>W1105A-NOCHIP</v>
      </c>
    </row>
    <row r="468" spans="1:7" x14ac:dyDescent="0.3">
      <c r="A468" s="13" t="s">
        <v>758</v>
      </c>
      <c r="B468" s="12" t="s">
        <v>757</v>
      </c>
      <c r="C468" s="12">
        <v>720</v>
      </c>
      <c r="D468" s="14">
        <v>33222.152000000002</v>
      </c>
      <c r="E468" s="14">
        <v>28154.335999999999</v>
      </c>
      <c r="F468" s="14"/>
      <c r="G468" s="12" t="str">
        <f>VLOOKUP(TRIM($A468),principal!$G:$G,1,0)</f>
        <v>WA850TP</v>
      </c>
    </row>
    <row r="469" spans="1:7" x14ac:dyDescent="0.3">
      <c r="A469" s="13" t="s">
        <v>1022</v>
      </c>
      <c r="B469" s="12" t="s">
        <v>1021</v>
      </c>
      <c r="C469" s="12">
        <v>180</v>
      </c>
      <c r="D469" s="14">
        <v>33063.94</v>
      </c>
      <c r="E469" s="14">
        <v>28020.248</v>
      </c>
      <c r="F469" s="14"/>
      <c r="G469" s="12" t="str">
        <f>VLOOKUP(TRIM($A469),principal!$G:$G,1,0)</f>
        <v>WCE1000X</v>
      </c>
    </row>
    <row r="470" spans="1:7" x14ac:dyDescent="0.3">
      <c r="A470" s="13" t="s">
        <v>393</v>
      </c>
      <c r="B470" s="12" t="s">
        <v>392</v>
      </c>
      <c r="C470" s="12">
        <v>1080</v>
      </c>
      <c r="D470" s="14">
        <v>227996.07199999999</v>
      </c>
      <c r="E470" s="14">
        <v>193216.96</v>
      </c>
      <c r="F470" s="14"/>
      <c r="G470" s="12" t="str">
        <f>VLOOKUP(TRIM($A470),principal!$G:$G,1,0)</f>
        <v>WD40EFPX</v>
      </c>
    </row>
    <row r="471" spans="1:7" x14ac:dyDescent="0.3">
      <c r="A471" s="13" t="s">
        <v>391</v>
      </c>
      <c r="B471" s="12" t="s">
        <v>390</v>
      </c>
      <c r="C471" s="12">
        <v>1080</v>
      </c>
      <c r="D471" s="14">
        <v>198873.96400000001</v>
      </c>
      <c r="E471" s="14">
        <v>168537.22</v>
      </c>
      <c r="F471" s="14"/>
      <c r="G471" s="12" t="str">
        <f>VLOOKUP(TRIM($A471),principal!$G:$G,1,0)</f>
        <v>WD40EZRZ</v>
      </c>
    </row>
    <row r="472" spans="1:7" x14ac:dyDescent="0.3">
      <c r="A472" s="13" t="s">
        <v>373</v>
      </c>
      <c r="B472" s="12" t="s">
        <v>372</v>
      </c>
      <c r="C472" s="12">
        <v>360</v>
      </c>
      <c r="D472" s="14">
        <v>118551.552</v>
      </c>
      <c r="E472" s="14">
        <v>100467.432</v>
      </c>
      <c r="F472" s="14"/>
      <c r="G472" s="12" t="str">
        <f>VLOOKUP(TRIM($A472),principal!$G:$G,1,0)</f>
        <v>WD480G</v>
      </c>
    </row>
    <row r="473" spans="1:7" x14ac:dyDescent="0.3">
      <c r="A473" s="13" t="s">
        <v>401</v>
      </c>
      <c r="B473" s="12" t="s">
        <v>400</v>
      </c>
      <c r="C473" s="12">
        <v>1080</v>
      </c>
      <c r="D473" s="14">
        <v>493300.42800000001</v>
      </c>
      <c r="E473" s="14">
        <v>418051.16</v>
      </c>
      <c r="F473" s="14"/>
      <c r="G473" s="12" t="str">
        <f>VLOOKUP(TRIM($A473),principal!$G:$G,1,0)</f>
        <v>WD80EFPX</v>
      </c>
    </row>
    <row r="474" spans="1:7" x14ac:dyDescent="0.3">
      <c r="A474" s="13" t="s">
        <v>1024</v>
      </c>
      <c r="B474" s="12" t="s">
        <v>1023</v>
      </c>
      <c r="C474" s="12">
        <v>180</v>
      </c>
      <c r="D474" s="14">
        <v>19777.092000000001</v>
      </c>
      <c r="E474" s="14">
        <v>16760.259999999998</v>
      </c>
      <c r="F474" s="14"/>
      <c r="G474" s="12" t="str">
        <f>VLOOKUP(TRIM($A474),principal!$G:$G,1,0)</f>
        <v>WEBKELYX</v>
      </c>
    </row>
    <row r="475" spans="1:7" x14ac:dyDescent="0.3">
      <c r="A475" s="13" t="s">
        <v>824</v>
      </c>
      <c r="B475" s="12" t="s">
        <v>823</v>
      </c>
      <c r="C475" s="12">
        <v>999</v>
      </c>
      <c r="D475" s="14">
        <v>312659.02799999999</v>
      </c>
      <c r="E475" s="14">
        <v>264965.288</v>
      </c>
      <c r="F475" s="14"/>
      <c r="G475" s="12" t="str">
        <f>VLOOKUP(TRIM($A475),principal!$G:$G,1,0)</f>
        <v>WIN11HOME</v>
      </c>
    </row>
    <row r="476" spans="1:7" x14ac:dyDescent="0.3">
      <c r="A476" s="13" t="s">
        <v>826</v>
      </c>
      <c r="B476" s="12" t="s">
        <v>825</v>
      </c>
      <c r="C476" s="12">
        <v>999</v>
      </c>
      <c r="D476" s="14">
        <v>370040.25599999999</v>
      </c>
      <c r="E476" s="14">
        <v>313593.5</v>
      </c>
      <c r="F476" s="14"/>
      <c r="G476" s="12" t="str">
        <f>VLOOKUP(TRIM($A476),principal!$G:$G,1,0)</f>
        <v>WIN11PRO</v>
      </c>
    </row>
    <row r="477" spans="1:7" x14ac:dyDescent="0.3">
      <c r="A477" s="13" t="s">
        <v>960</v>
      </c>
      <c r="B477" s="12" t="s">
        <v>959</v>
      </c>
      <c r="C477" s="12">
        <v>30</v>
      </c>
      <c r="D477" s="14">
        <v>16274.227999999999</v>
      </c>
      <c r="E477" s="14">
        <v>13791.675999999999</v>
      </c>
      <c r="F477" s="14"/>
      <c r="G477" s="12" t="str">
        <f>VLOOKUP(TRIM($A477),principal!$G:$G,1,0)</f>
        <v>X106R02773</v>
      </c>
    </row>
    <row r="478" spans="1:7" x14ac:dyDescent="0.3">
      <c r="A478" s="13" t="s">
        <v>962</v>
      </c>
      <c r="B478" s="12" t="s">
        <v>961</v>
      </c>
      <c r="C478" s="12">
        <v>30</v>
      </c>
      <c r="D478" s="14">
        <v>15909.111999999999</v>
      </c>
      <c r="E478" s="14">
        <v>13482.208000000001</v>
      </c>
      <c r="F478" s="14"/>
      <c r="G478" s="12" t="str">
        <f>VLOOKUP(TRIM($A478),principal!$G:$G,1,0)</f>
        <v>X106R02778</v>
      </c>
    </row>
    <row r="479" spans="1:7" x14ac:dyDescent="0.3">
      <c r="A479" s="13" t="s">
        <v>24</v>
      </c>
      <c r="B479" s="12" t="s">
        <v>1883</v>
      </c>
      <c r="C479" s="12">
        <v>15</v>
      </c>
      <c r="D479" s="14">
        <v>17697.988000000001</v>
      </c>
      <c r="E479" s="14">
        <v>14998.32</v>
      </c>
      <c r="F479" s="14"/>
      <c r="G479" s="12" t="str">
        <f>VLOOKUP(TRIM($A479),principal!$G:$G,1,0)</f>
        <v>X2670BL</v>
      </c>
    </row>
    <row r="480" spans="1:7" x14ac:dyDescent="0.3">
      <c r="A480" s="13" t="s">
        <v>25</v>
      </c>
      <c r="B480" s="12" t="s">
        <v>1884</v>
      </c>
      <c r="C480" s="12">
        <v>15</v>
      </c>
      <c r="D480" s="14">
        <v>17697.988000000001</v>
      </c>
      <c r="E480" s="14">
        <v>14998.32</v>
      </c>
      <c r="F480" s="14"/>
      <c r="G480" s="12" t="str">
        <f>VLOOKUP(TRIM($A480),principal!$G:$G,1,0)</f>
        <v>X2670RJ</v>
      </c>
    </row>
    <row r="481" spans="1:7" x14ac:dyDescent="0.3">
      <c r="A481" s="13" t="s">
        <v>26</v>
      </c>
      <c r="B481" s="12" t="s">
        <v>1885</v>
      </c>
      <c r="C481" s="12">
        <v>15</v>
      </c>
      <c r="D481" s="14">
        <v>17697.988000000001</v>
      </c>
      <c r="E481" s="14">
        <v>14998.32</v>
      </c>
      <c r="F481" s="14"/>
      <c r="G481" s="12" t="str">
        <f>VLOOKUP(TRIM($A481),principal!$G:$G,1,0)</f>
        <v>X2670RS</v>
      </c>
    </row>
    <row r="482" spans="1:7" x14ac:dyDescent="0.3">
      <c r="A482" s="13" t="s">
        <v>624</v>
      </c>
      <c r="B482" s="12" t="s">
        <v>623</v>
      </c>
      <c r="C482" s="12">
        <v>360</v>
      </c>
      <c r="D482" s="14">
        <v>1078035.5519999999</v>
      </c>
      <c r="E482" s="14">
        <v>962531.61600000004</v>
      </c>
      <c r="F482" s="14"/>
      <c r="G482" s="12" t="str">
        <f>VLOOKUP(TRIM($A482),principal!$G:$G,1,0)</f>
        <v>X515EA_I5</v>
      </c>
    </row>
    <row r="483" spans="1:7" x14ac:dyDescent="0.3">
      <c r="A483" s="13" t="s">
        <v>620</v>
      </c>
      <c r="B483" s="12" t="s">
        <v>619</v>
      </c>
      <c r="C483" s="12">
        <v>360</v>
      </c>
      <c r="D483" s="14">
        <v>710413.76399999997</v>
      </c>
      <c r="E483" s="14">
        <v>634298.10400000005</v>
      </c>
      <c r="F483" s="14"/>
      <c r="G483" s="12" t="str">
        <f>VLOOKUP(TRIM($A483),principal!$G:$G,1,0)</f>
        <v>X515EAW</v>
      </c>
    </row>
    <row r="484" spans="1:7" x14ac:dyDescent="0.3">
      <c r="A484" s="13" t="s">
        <v>1020</v>
      </c>
      <c r="B484" s="12" t="s">
        <v>1019</v>
      </c>
      <c r="C484" s="12">
        <v>360</v>
      </c>
      <c r="D484" s="14">
        <v>875693.652</v>
      </c>
      <c r="E484" s="14">
        <v>742113.29200000002</v>
      </c>
      <c r="F484" s="14"/>
      <c r="G484" s="12" t="str">
        <f>VLOOKUP(TRIM($A484),principal!$G:$G,1,0)</f>
        <v>ZOTAC5060</v>
      </c>
    </row>
    <row r="485" spans="1:7" x14ac:dyDescent="0.3">
      <c r="A485" s="13" t="s">
        <v>1871</v>
      </c>
      <c r="B485" s="12" t="s">
        <v>1870</v>
      </c>
      <c r="C485" s="12">
        <v>0</v>
      </c>
      <c r="D485" s="14">
        <v>10554.028</v>
      </c>
      <c r="E485" s="14">
        <v>8944.0840000000007</v>
      </c>
      <c r="F485" s="14"/>
      <c r="G485" s="12" t="str">
        <f>VLOOKUP(TRIM($A485),principal!$G:$G,1,0)</f>
        <v>HDMIDISPLAY</v>
      </c>
    </row>
    <row r="486" spans="1:7" x14ac:dyDescent="0.3">
      <c r="A486" s="13" t="s">
        <v>1873</v>
      </c>
      <c r="B486" s="12" t="s">
        <v>1872</v>
      </c>
      <c r="C486" s="12">
        <v>0</v>
      </c>
      <c r="D486" s="14">
        <v>5874.7120000000004</v>
      </c>
      <c r="E486" s="14">
        <v>4978.5720000000001</v>
      </c>
      <c r="F486" s="14"/>
      <c r="G486" s="12" t="str">
        <f>VLOOKUP(TRIM($A486),principal!$G:$G,1,0)</f>
        <v>HDMIVGAA</v>
      </c>
    </row>
    <row r="487" spans="1:7" x14ac:dyDescent="0.3">
      <c r="A487" s="13" t="s">
        <v>1875</v>
      </c>
      <c r="B487" s="12" t="s">
        <v>1874</v>
      </c>
      <c r="C487" s="12">
        <v>0</v>
      </c>
      <c r="D487" s="14">
        <v>19582.62</v>
      </c>
      <c r="E487" s="14">
        <v>16595.387999999999</v>
      </c>
      <c r="F487" s="14"/>
      <c r="G487" s="12" t="str">
        <f>VLOOKUP(TRIM($A487),principal!$G:$G,1,0)</f>
        <v>USB3VGA</v>
      </c>
    </row>
    <row r="488" spans="1:7" x14ac:dyDescent="0.3">
      <c r="A488" s="13" t="s">
        <v>1880</v>
      </c>
      <c r="B488" s="12" t="s">
        <v>1879</v>
      </c>
      <c r="C488" s="12">
        <v>15</v>
      </c>
      <c r="D488" s="14">
        <v>9793.0120000000006</v>
      </c>
      <c r="E488" s="14">
        <v>8299.2479999999996</v>
      </c>
      <c r="F488" s="14"/>
      <c r="G488" s="12" t="str">
        <f>VLOOKUP(TRIM($A488),principal!$G:$G,1,0)</f>
        <v>AC0200</v>
      </c>
    </row>
    <row r="489" spans="1:7" x14ac:dyDescent="0.3">
      <c r="A489" s="13" t="s">
        <v>1894</v>
      </c>
      <c r="B489" s="12" t="s">
        <v>71</v>
      </c>
      <c r="C489" s="12">
        <v>0</v>
      </c>
      <c r="D489" s="14">
        <v>10464.932000000001</v>
      </c>
      <c r="E489" s="14">
        <v>8868.6039999999994</v>
      </c>
      <c r="F489" s="14"/>
      <c r="G489" s="12" t="str">
        <f>VLOOKUP(TRIM($A489),principal!$G:$G,1,0)</f>
        <v>CABLEPORT</v>
      </c>
    </row>
    <row r="490" spans="1:7" x14ac:dyDescent="0.3">
      <c r="A490" s="13" t="s">
        <v>1896</v>
      </c>
      <c r="B490" s="12" t="s">
        <v>1895</v>
      </c>
      <c r="C490" s="12">
        <v>0</v>
      </c>
      <c r="D490" s="14">
        <v>27093.62</v>
      </c>
      <c r="E490" s="14">
        <v>22960.720000000001</v>
      </c>
      <c r="F490" s="14"/>
      <c r="G490" s="12" t="str">
        <f>VLOOKUP(TRIM($A490),principal!$G:$G,1,0)</f>
        <v>CAHP664</v>
      </c>
    </row>
    <row r="491" spans="1:7" x14ac:dyDescent="0.3">
      <c r="A491" s="13" t="s">
        <v>1898</v>
      </c>
      <c r="B491" s="12" t="s">
        <v>1897</v>
      </c>
      <c r="C491" s="12">
        <v>1060</v>
      </c>
      <c r="D491" s="14">
        <v>142117.44399999999</v>
      </c>
      <c r="E491" s="14">
        <v>120438.552</v>
      </c>
      <c r="F491" s="14"/>
      <c r="G491" s="12" t="str">
        <f>VLOOKUP(TRIM($A491),principal!$G:$G,1,0)</f>
        <v>RYZEN53400G</v>
      </c>
    </row>
    <row r="492" spans="1:7" x14ac:dyDescent="0.3">
      <c r="A492" s="13" t="s">
        <v>1902</v>
      </c>
      <c r="B492" s="12" t="s">
        <v>1901</v>
      </c>
      <c r="C492" s="12">
        <v>360</v>
      </c>
      <c r="D492" s="14">
        <v>74434.232000000004</v>
      </c>
      <c r="E492" s="14">
        <v>63079.968000000001</v>
      </c>
      <c r="F492" s="14"/>
      <c r="G492" s="12" t="str">
        <f>VLOOKUP(TRIM($A492),principal!$G:$G,1,0)</f>
        <v>S270-240G</v>
      </c>
    </row>
    <row r="493" spans="1:7" x14ac:dyDescent="0.3">
      <c r="A493" s="13" t="s">
        <v>1900</v>
      </c>
      <c r="B493" s="12" t="s">
        <v>1899</v>
      </c>
      <c r="C493" s="12">
        <v>360</v>
      </c>
      <c r="D493" s="14">
        <v>69998.524000000005</v>
      </c>
      <c r="E493" s="14">
        <v>59320.767999999996</v>
      </c>
      <c r="F493" s="14"/>
      <c r="G493" s="12" t="str">
        <f>VLOOKUP(TRIM($A493),principal!$G:$G,1,0)</f>
        <v>LEXAR256</v>
      </c>
    </row>
    <row r="494" spans="1:7" x14ac:dyDescent="0.3">
      <c r="A494" s="13" t="s">
        <v>1906</v>
      </c>
      <c r="B494" s="12" t="s">
        <v>1905</v>
      </c>
      <c r="C494" s="12">
        <v>360</v>
      </c>
      <c r="D494" s="14">
        <v>113395.67600000001</v>
      </c>
      <c r="E494" s="14">
        <v>96098.028000000006</v>
      </c>
      <c r="F494" s="14"/>
      <c r="G494" s="12" t="str">
        <f>VLOOKUP(TRIM($A494),principal!$G:$G,1,0)</f>
        <v>LEXAR512</v>
      </c>
    </row>
    <row r="495" spans="1:7" x14ac:dyDescent="0.3">
      <c r="A495" s="13" t="s">
        <v>1910</v>
      </c>
      <c r="B495" s="12" t="s">
        <v>1909</v>
      </c>
      <c r="C495" s="12">
        <v>360</v>
      </c>
      <c r="D495" s="14">
        <v>215696.53200000001</v>
      </c>
      <c r="E495" s="14">
        <v>182793.764</v>
      </c>
      <c r="F495" s="14"/>
      <c r="G495" s="12" t="str">
        <f>VLOOKUP(TRIM($A495),principal!$G:$G,1,0)</f>
        <v>LEXAR960</v>
      </c>
    </row>
    <row r="496" spans="1:7" x14ac:dyDescent="0.3">
      <c r="A496" s="13" t="s">
        <v>1904</v>
      </c>
      <c r="B496" s="12" t="s">
        <v>1903</v>
      </c>
      <c r="C496" s="12">
        <v>360</v>
      </c>
      <c r="D496" s="14">
        <v>65211.167999999998</v>
      </c>
      <c r="E496" s="14">
        <v>55263.792000000001</v>
      </c>
      <c r="F496" s="14"/>
      <c r="G496" s="12" t="str">
        <f>VLOOKUP(TRIM($A496),principal!$G:$G,1,0)</f>
        <v>HISEM2M256</v>
      </c>
    </row>
    <row r="497" spans="1:7" x14ac:dyDescent="0.3">
      <c r="A497" s="13" t="s">
        <v>1908</v>
      </c>
      <c r="B497" s="12" t="s">
        <v>1907</v>
      </c>
      <c r="C497" s="12">
        <v>360</v>
      </c>
      <c r="D497" s="14">
        <v>123153.61199999999</v>
      </c>
      <c r="E497" s="14">
        <v>104367.38</v>
      </c>
      <c r="F497" s="14"/>
      <c r="G497" s="12" t="str">
        <f>VLOOKUP(TRIM($A497),principal!$G:$G,1,0)</f>
        <v>HISEMIM512</v>
      </c>
    </row>
    <row r="498" spans="1:7" x14ac:dyDescent="0.3">
      <c r="A498" s="13" t="s">
        <v>443</v>
      </c>
      <c r="B498" s="12" t="s">
        <v>442</v>
      </c>
      <c r="C498" s="12">
        <v>90</v>
      </c>
      <c r="D498" s="14">
        <v>82907.676000000007</v>
      </c>
      <c r="E498" s="14">
        <v>70260.78</v>
      </c>
      <c r="F498" s="14"/>
      <c r="G498" s="12" t="e">
        <f>VLOOKUP(TRIM($A498),principal!$G:$G,1,0)</f>
        <v>#N/A</v>
      </c>
    </row>
    <row r="499" spans="1:7" x14ac:dyDescent="0.3">
      <c r="A499" s="13" t="s">
        <v>1912</v>
      </c>
      <c r="B499" s="12" t="s">
        <v>1911</v>
      </c>
      <c r="C499" s="12">
        <v>90</v>
      </c>
      <c r="D499" s="14">
        <v>55271.784</v>
      </c>
      <c r="E499" s="14">
        <v>46840.52</v>
      </c>
      <c r="F499" s="14"/>
      <c r="G499" s="12" t="str">
        <f>VLOOKUP(TRIM($A499),principal!$G:$G,1,0)</f>
        <v>GJ6826</v>
      </c>
    </row>
    <row r="500" spans="1:7" x14ac:dyDescent="0.3">
      <c r="A500" s="13" t="s">
        <v>1914</v>
      </c>
      <c r="B500" s="12" t="s">
        <v>1913</v>
      </c>
      <c r="C500" s="12">
        <v>720</v>
      </c>
      <c r="D500" s="14">
        <v>132751.41200000001</v>
      </c>
      <c r="E500" s="14">
        <v>112501.164</v>
      </c>
      <c r="F500" s="14"/>
      <c r="G500" s="12" t="str">
        <f>VLOOKUP(TRIM($A500),principal!$G:$G,1,0)</f>
        <v>H610M-S</v>
      </c>
    </row>
    <row r="501" spans="1:7" x14ac:dyDescent="0.3">
      <c r="A501" s="13" t="s">
        <v>1921</v>
      </c>
      <c r="B501" s="12" t="s">
        <v>1920</v>
      </c>
      <c r="C501" s="12">
        <v>180</v>
      </c>
      <c r="D501" s="14">
        <v>30867.175999999999</v>
      </c>
      <c r="E501" s="14">
        <v>26158.556</v>
      </c>
      <c r="F501" s="14"/>
      <c r="G501" s="12" t="str">
        <f>VLOOKUP(TRIM($A501),principal!$G:$G,1,0)</f>
        <v>SD128MB</v>
      </c>
    </row>
    <row r="502" spans="1:7" x14ac:dyDescent="0.3">
      <c r="A502" s="13" t="s">
        <v>1916</v>
      </c>
      <c r="B502" s="12" t="s">
        <v>1915</v>
      </c>
      <c r="C502" s="12">
        <v>180</v>
      </c>
      <c r="D502" s="14">
        <v>204941.076</v>
      </c>
      <c r="E502" s="14">
        <v>173678.88800000001</v>
      </c>
      <c r="F502" s="14"/>
      <c r="G502" s="12" t="str">
        <f>VLOOKUP(TRIM($A502),principal!$G:$G,1,0)</f>
        <v>HIKSI16D26</v>
      </c>
    </row>
    <row r="503" spans="1:7" x14ac:dyDescent="0.3">
      <c r="A503" s="13" t="s">
        <v>1918</v>
      </c>
      <c r="B503" s="12" t="s">
        <v>1917</v>
      </c>
      <c r="C503" s="12">
        <v>180</v>
      </c>
      <c r="D503" s="14">
        <v>491413.13199999998</v>
      </c>
      <c r="E503" s="14">
        <v>416451.87199999997</v>
      </c>
      <c r="F503" s="14"/>
      <c r="G503" s="12" t="str">
        <f>VLOOKUP(TRIM($A503),principal!$G:$G,1,0)</f>
        <v>HX32C3200R</v>
      </c>
    </row>
    <row r="504" spans="1:7" x14ac:dyDescent="0.3">
      <c r="A504" s="13" t="s">
        <v>1923</v>
      </c>
      <c r="B504" s="12" t="s">
        <v>1922</v>
      </c>
      <c r="C504" s="12">
        <v>3000</v>
      </c>
      <c r="D504" s="14">
        <v>122063.296</v>
      </c>
      <c r="E504" s="14">
        <v>103443.416</v>
      </c>
      <c r="F504" s="14"/>
      <c r="G504" s="12" t="str">
        <f>VLOOKUP(TRIM($A504),principal!$G:$G,1,0)</f>
        <v>FESX19F2</v>
      </c>
    </row>
    <row r="505" spans="1:7" x14ac:dyDescent="0.3">
      <c r="A505" s="13" t="s">
        <v>1926</v>
      </c>
      <c r="B505" s="12" t="s">
        <v>1925</v>
      </c>
      <c r="C505" s="12">
        <v>180</v>
      </c>
      <c r="D505" s="14">
        <v>7780.2120000000004</v>
      </c>
      <c r="E505" s="14">
        <v>6593.4</v>
      </c>
      <c r="F505" s="14"/>
      <c r="G505" s="12" t="str">
        <f>VLOOKUP(TRIM($A505),principal!$G:$G,1,0)</f>
        <v>LXALJDV40-16</v>
      </c>
    </row>
    <row r="506" spans="1:7" x14ac:dyDescent="0.3">
      <c r="A506" s="13" t="s">
        <v>1928</v>
      </c>
      <c r="B506" s="12" t="s">
        <v>1927</v>
      </c>
      <c r="C506" s="12">
        <v>180</v>
      </c>
      <c r="D506" s="14">
        <v>8712.1679999999997</v>
      </c>
      <c r="E506" s="14">
        <v>7383.2759999999998</v>
      </c>
      <c r="F506" s="14"/>
      <c r="G506" s="12" t="str">
        <f>VLOOKUP(TRIM($A506),principal!$G:$G,1,0)</f>
        <v>LXALJDV40-32</v>
      </c>
    </row>
    <row r="507" spans="1:7" x14ac:dyDescent="0.3">
      <c r="A507" s="13" t="s">
        <v>1930</v>
      </c>
      <c r="B507" s="12" t="s">
        <v>1929</v>
      </c>
      <c r="C507" s="12">
        <v>180</v>
      </c>
      <c r="D507" s="14">
        <v>10056.451999999999</v>
      </c>
      <c r="E507" s="14">
        <v>8522.4320000000007</v>
      </c>
      <c r="F507" s="14"/>
      <c r="G507" s="12" t="str">
        <f>VLOOKUP(TRIM($A507),principal!$G:$G,1,0)</f>
        <v>LXALJDV40-64</v>
      </c>
    </row>
    <row r="508" spans="1:7" x14ac:dyDescent="0.3">
      <c r="A508" s="13" t="s">
        <v>1932</v>
      </c>
      <c r="B508" s="12" t="s">
        <v>1931</v>
      </c>
      <c r="C508" s="12">
        <v>720</v>
      </c>
      <c r="D508" s="14">
        <v>61211.616000000002</v>
      </c>
      <c r="E508" s="14">
        <v>51874.296000000002</v>
      </c>
      <c r="F508" s="14"/>
      <c r="G508" s="12" t="str">
        <f>VLOOKUP(TRIM($A508),principal!$G:$G,1,0)</f>
        <v>C64AC12000</v>
      </c>
    </row>
    <row r="509" spans="1:7" x14ac:dyDescent="0.3">
      <c r="A509" s="13" t="s">
        <v>1934</v>
      </c>
      <c r="B509" s="12" t="s">
        <v>1933</v>
      </c>
      <c r="C509" s="12">
        <v>720</v>
      </c>
      <c r="D509" s="14">
        <v>63348.144</v>
      </c>
      <c r="E509" s="14">
        <v>53684.928</v>
      </c>
      <c r="F509" s="14"/>
      <c r="G509" s="12" t="str">
        <f>VLOOKUP(TRIM($A509),principal!$G:$G,1,0)</f>
        <v>ARCHERAX12</v>
      </c>
    </row>
    <row r="510" spans="1:7" x14ac:dyDescent="0.3">
      <c r="A510" s="13" t="s">
        <v>808</v>
      </c>
      <c r="B510" s="12" t="s">
        <v>807</v>
      </c>
      <c r="C510" s="12">
        <v>10</v>
      </c>
      <c r="D510" s="14">
        <v>25427.732</v>
      </c>
      <c r="E510" s="14">
        <v>21548.948</v>
      </c>
      <c r="F510" s="14"/>
      <c r="G510" s="12" t="e">
        <f>VLOOKUP(TRIM($A510),principal!$G:$G,1,0)</f>
        <v>#N/A</v>
      </c>
    </row>
    <row r="511" spans="1:7" x14ac:dyDescent="0.3">
      <c r="A511" s="13" t="s">
        <v>1936</v>
      </c>
      <c r="B511" s="12" t="s">
        <v>1935</v>
      </c>
      <c r="C511" s="12">
        <v>720</v>
      </c>
      <c r="D511" s="14">
        <v>13929.907999999999</v>
      </c>
      <c r="E511" s="14">
        <v>11804.924000000001</v>
      </c>
      <c r="F511" s="14"/>
      <c r="G511" s="12" t="str">
        <f>VLOOKUP(TRIM($A511),principal!$G:$G,1,0)</f>
        <v>MS105G</v>
      </c>
    </row>
    <row r="512" spans="1:7" x14ac:dyDescent="0.3">
      <c r="A512" s="13" t="s">
        <v>890</v>
      </c>
      <c r="B512" s="12" t="s">
        <v>889</v>
      </c>
      <c r="C512" s="12">
        <v>30</v>
      </c>
      <c r="D512" s="14">
        <v>20180.096000000001</v>
      </c>
      <c r="E512" s="14">
        <v>17101.696</v>
      </c>
      <c r="F512" s="14"/>
      <c r="G512" s="12" t="e">
        <f>VLOOKUP(TRIM($A512),principal!$G:$G,1,0)</f>
        <v>#N/A</v>
      </c>
    </row>
    <row r="513" spans="1:7" x14ac:dyDescent="0.3">
      <c r="A513" s="13" t="s">
        <v>1941</v>
      </c>
      <c r="B513" s="12" t="s">
        <v>1940</v>
      </c>
      <c r="C513" s="12">
        <v>360</v>
      </c>
      <c r="D513" s="14">
        <v>80293.403999999995</v>
      </c>
      <c r="E513" s="14">
        <v>68045.22</v>
      </c>
      <c r="F513" s="14"/>
      <c r="G513" s="12" t="str">
        <f>VLOOKUP(TRIM($A513),principal!$G:$G,1,0)</f>
        <v>FORZA500VA</v>
      </c>
    </row>
    <row r="514" spans="1:7" x14ac:dyDescent="0.3">
      <c r="A514" s="13" t="s">
        <v>1939</v>
      </c>
      <c r="B514" s="12" t="s">
        <v>1938</v>
      </c>
      <c r="C514" s="12">
        <v>360</v>
      </c>
      <c r="D514" s="14">
        <v>91341.604000000007</v>
      </c>
      <c r="E514" s="14">
        <v>77408.144</v>
      </c>
      <c r="F514" s="14"/>
      <c r="G514" s="12" t="str">
        <f>VLOOKUP(TRIM($A514),principal!$G:$G,1,0)</f>
        <v>FORZA750VA</v>
      </c>
    </row>
  </sheetData>
  <sortState xmlns:xlrd2="http://schemas.microsoft.com/office/spreadsheetml/2017/richdata2" ref="B4:G514">
    <sortCondition ref="G4:G51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C062-903F-4C40-B491-305213E9DF53}">
  <dimension ref="A1:Q101"/>
  <sheetViews>
    <sheetView topLeftCell="B1" workbookViewId="0">
      <selection activeCell="M4" sqref="M4"/>
    </sheetView>
  </sheetViews>
  <sheetFormatPr defaultRowHeight="14.4" x14ac:dyDescent="0.3"/>
  <cols>
    <col min="1" max="1" width="36.33203125" bestFit="1" customWidth="1"/>
    <col min="2" max="2" width="11.6640625" customWidth="1"/>
    <col min="3" max="3" width="46.88671875" customWidth="1"/>
    <col min="4" max="4" width="7.6640625" bestFit="1" customWidth="1"/>
    <col min="5" max="5" width="13.109375" bestFit="1" customWidth="1"/>
    <col min="6" max="6" width="12.77734375" bestFit="1" customWidth="1"/>
    <col min="7" max="7" width="5.33203125" bestFit="1" customWidth="1"/>
    <col min="8" max="8" width="49.44140625" customWidth="1"/>
    <col min="9" max="9" width="8.33203125" customWidth="1"/>
    <col min="10" max="10" width="9.33203125" customWidth="1"/>
    <col min="11" max="11" width="10.109375" bestFit="1" customWidth="1"/>
    <col min="12" max="12" width="11" bestFit="1" customWidth="1"/>
    <col min="13" max="13" width="8.33203125" customWidth="1"/>
    <col min="14" max="14" width="7.109375" customWidth="1"/>
    <col min="15" max="15" width="10" bestFit="1" customWidth="1"/>
    <col min="17" max="17" width="15.109375" bestFit="1" customWidth="1"/>
  </cols>
  <sheetData>
    <row r="1" spans="1:17" x14ac:dyDescent="0.3">
      <c r="A1" t="s">
        <v>1445</v>
      </c>
      <c r="B1" t="s">
        <v>1446</v>
      </c>
      <c r="C1" t="s">
        <v>1447</v>
      </c>
      <c r="D1" t="s">
        <v>1448</v>
      </c>
      <c r="E1" t="s">
        <v>1449</v>
      </c>
      <c r="F1" t="s">
        <v>1450</v>
      </c>
      <c r="G1" t="s">
        <v>1451</v>
      </c>
      <c r="H1" t="s">
        <v>1452</v>
      </c>
      <c r="I1" t="s">
        <v>1453</v>
      </c>
      <c r="J1" t="s">
        <v>1454</v>
      </c>
      <c r="K1" t="s">
        <v>1455</v>
      </c>
      <c r="L1" t="s">
        <v>1456</v>
      </c>
      <c r="M1" t="s">
        <v>1457</v>
      </c>
      <c r="N1" t="s">
        <v>1458</v>
      </c>
      <c r="O1" t="s">
        <v>1459</v>
      </c>
      <c r="Q1" t="s">
        <v>1863</v>
      </c>
    </row>
    <row r="2" spans="1:17" x14ac:dyDescent="0.3">
      <c r="A2" t="s">
        <v>1460</v>
      </c>
      <c r="B2" t="s">
        <v>1461</v>
      </c>
      <c r="C2" t="s">
        <v>1462</v>
      </c>
      <c r="D2">
        <v>180</v>
      </c>
      <c r="E2" t="s">
        <v>1463</v>
      </c>
      <c r="F2" t="s">
        <v>1464</v>
      </c>
      <c r="G2">
        <v>1</v>
      </c>
      <c r="H2" t="s">
        <v>1074</v>
      </c>
      <c r="I2" t="s">
        <v>1465</v>
      </c>
      <c r="J2" t="s">
        <v>1466</v>
      </c>
      <c r="L2">
        <v>11301</v>
      </c>
      <c r="M2" t="s">
        <v>1046</v>
      </c>
      <c r="N2" t="s">
        <v>1049</v>
      </c>
      <c r="O2" t="s">
        <v>1467</v>
      </c>
      <c r="Q2" s="8" t="str">
        <f>IFERROR((VLOOKUP(TRIM(C2),principal!A:G,7,0)),"REVISAR")</f>
        <v>REVISAR</v>
      </c>
    </row>
    <row r="3" spans="1:17" x14ac:dyDescent="0.3">
      <c r="A3" t="s">
        <v>1468</v>
      </c>
      <c r="B3" t="s">
        <v>1469</v>
      </c>
      <c r="C3" t="s">
        <v>1470</v>
      </c>
      <c r="D3">
        <v>180</v>
      </c>
      <c r="E3" t="s">
        <v>1471</v>
      </c>
      <c r="F3" t="s">
        <v>1472</v>
      </c>
      <c r="G3">
        <v>1</v>
      </c>
      <c r="H3" t="s">
        <v>1073</v>
      </c>
      <c r="I3" t="s">
        <v>1465</v>
      </c>
      <c r="J3" t="s">
        <v>1466</v>
      </c>
      <c r="L3">
        <v>6380</v>
      </c>
      <c r="M3" t="s">
        <v>1046</v>
      </c>
      <c r="N3" t="s">
        <v>1049</v>
      </c>
      <c r="O3" t="s">
        <v>1467</v>
      </c>
      <c r="Q3" s="8" t="str">
        <f>IFERROR((VLOOKUP(TRIM(C3),principal!A:G,7,0)),"REVISAR")</f>
        <v>MA530</v>
      </c>
    </row>
    <row r="4" spans="1:17" x14ac:dyDescent="0.3">
      <c r="A4" t="s">
        <v>1473</v>
      </c>
      <c r="B4" t="s">
        <v>1474</v>
      </c>
      <c r="C4" t="s">
        <v>1475</v>
      </c>
      <c r="D4">
        <v>0</v>
      </c>
      <c r="E4" t="s">
        <v>1476</v>
      </c>
      <c r="F4" t="s">
        <v>1477</v>
      </c>
      <c r="G4">
        <v>1</v>
      </c>
      <c r="H4" t="s">
        <v>1072</v>
      </c>
      <c r="I4" t="s">
        <v>1465</v>
      </c>
      <c r="J4" t="s">
        <v>1466</v>
      </c>
      <c r="L4">
        <v>5917</v>
      </c>
      <c r="M4" t="s">
        <v>1055</v>
      </c>
      <c r="N4" t="s">
        <v>1057</v>
      </c>
      <c r="O4" t="s">
        <v>1467</v>
      </c>
      <c r="Q4" s="8" t="str">
        <f>IFERROR((VLOOKUP(TRIM(C4),principal!A:G,7,0)),"REVISAR")</f>
        <v>NNDVIHDMI</v>
      </c>
    </row>
    <row r="5" spans="1:17" x14ac:dyDescent="0.3">
      <c r="A5" t="s">
        <v>1478</v>
      </c>
      <c r="B5" t="s">
        <v>1479</v>
      </c>
      <c r="C5" t="s">
        <v>6</v>
      </c>
      <c r="D5">
        <v>180</v>
      </c>
      <c r="E5" t="s">
        <v>1480</v>
      </c>
      <c r="F5" t="s">
        <v>1481</v>
      </c>
      <c r="G5">
        <v>1</v>
      </c>
      <c r="H5" t="s">
        <v>1482</v>
      </c>
      <c r="I5" t="s">
        <v>1465</v>
      </c>
      <c r="J5" t="s">
        <v>1466</v>
      </c>
      <c r="L5">
        <v>17762</v>
      </c>
      <c r="M5" t="s">
        <v>1055</v>
      </c>
      <c r="N5" t="s">
        <v>1057</v>
      </c>
      <c r="O5" t="s">
        <v>1467</v>
      </c>
      <c r="Q5" s="8" t="str">
        <f>IFERROR((VLOOKUP(TRIM(C5),principal!A:G,7,0)),"REVISAR")</f>
        <v>NN0P069</v>
      </c>
    </row>
    <row r="6" spans="1:17" x14ac:dyDescent="0.3">
      <c r="A6" t="s">
        <v>1483</v>
      </c>
      <c r="B6" t="s">
        <v>1484</v>
      </c>
      <c r="C6" t="s">
        <v>1485</v>
      </c>
      <c r="D6">
        <v>180</v>
      </c>
      <c r="E6" t="s">
        <v>1486</v>
      </c>
      <c r="F6" t="s">
        <v>1487</v>
      </c>
      <c r="G6">
        <v>1</v>
      </c>
      <c r="H6" t="s">
        <v>1488</v>
      </c>
      <c r="I6" t="s">
        <v>1465</v>
      </c>
      <c r="J6" t="s">
        <v>1466</v>
      </c>
      <c r="L6">
        <v>28300</v>
      </c>
      <c r="M6" t="s">
        <v>1055</v>
      </c>
      <c r="N6" t="s">
        <v>1057</v>
      </c>
      <c r="O6" t="s">
        <v>1467</v>
      </c>
      <c r="Q6" s="8" t="str">
        <f>IFERROR((VLOOKUP(TRIM(C6),principal!A:G,7,0)),"REVISAR")</f>
        <v>REVISAR</v>
      </c>
    </row>
    <row r="7" spans="1:17" x14ac:dyDescent="0.3">
      <c r="A7" t="s">
        <v>1489</v>
      </c>
      <c r="B7" t="s">
        <v>1490</v>
      </c>
      <c r="C7" t="s">
        <v>1491</v>
      </c>
      <c r="D7">
        <v>15</v>
      </c>
      <c r="E7" t="s">
        <v>1492</v>
      </c>
      <c r="F7" t="s">
        <v>1493</v>
      </c>
      <c r="G7">
        <v>1</v>
      </c>
      <c r="H7" t="s">
        <v>1081</v>
      </c>
      <c r="I7" t="s">
        <v>1465</v>
      </c>
      <c r="J7" t="s">
        <v>1466</v>
      </c>
      <c r="L7">
        <v>14417</v>
      </c>
      <c r="M7" t="s">
        <v>1494</v>
      </c>
      <c r="N7" t="s">
        <v>1064</v>
      </c>
      <c r="O7" t="s">
        <v>1467</v>
      </c>
      <c r="Q7" s="8" t="str">
        <f>IFERROR((VLOOKUP(TRIM(C7),principal!A:G,7,0)),"REVISAR")</f>
        <v>REVISAR</v>
      </c>
    </row>
    <row r="8" spans="1:17" x14ac:dyDescent="0.3">
      <c r="A8" t="s">
        <v>1495</v>
      </c>
      <c r="B8" t="s">
        <v>1496</v>
      </c>
      <c r="C8" t="s">
        <v>1497</v>
      </c>
      <c r="D8">
        <v>15</v>
      </c>
      <c r="E8" t="s">
        <v>1498</v>
      </c>
      <c r="F8" t="s">
        <v>1499</v>
      </c>
      <c r="G8">
        <v>1</v>
      </c>
      <c r="H8" t="s">
        <v>1085</v>
      </c>
      <c r="I8" t="s">
        <v>1465</v>
      </c>
      <c r="J8" t="s">
        <v>1466</v>
      </c>
      <c r="L8">
        <v>17430</v>
      </c>
      <c r="M8" t="s">
        <v>1494</v>
      </c>
      <c r="N8" t="s">
        <v>1064</v>
      </c>
      <c r="O8" t="s">
        <v>1467</v>
      </c>
      <c r="Q8" s="8" t="str">
        <f>IFERROR((VLOOKUP(TRIM(C8),principal!A:G,7,0)),"REVISAR")</f>
        <v>REVISAR</v>
      </c>
    </row>
    <row r="9" spans="1:17" x14ac:dyDescent="0.3">
      <c r="A9" t="s">
        <v>1500</v>
      </c>
      <c r="B9" t="s">
        <v>1501</v>
      </c>
      <c r="C9" t="s">
        <v>1502</v>
      </c>
      <c r="D9">
        <v>15</v>
      </c>
      <c r="E9" t="s">
        <v>1498</v>
      </c>
      <c r="F9" t="s">
        <v>1499</v>
      </c>
      <c r="G9">
        <v>1</v>
      </c>
      <c r="H9" t="s">
        <v>1082</v>
      </c>
      <c r="I9" t="s">
        <v>1465</v>
      </c>
      <c r="J9" t="s">
        <v>1466</v>
      </c>
      <c r="L9">
        <v>17430</v>
      </c>
      <c r="M9" t="s">
        <v>1494</v>
      </c>
      <c r="N9" t="s">
        <v>1064</v>
      </c>
      <c r="O9" t="s">
        <v>1467</v>
      </c>
      <c r="Q9" s="8" t="str">
        <f>IFERROR((VLOOKUP(TRIM(C9),principal!A:G,7,0)),"REVISAR")</f>
        <v>REVISAR</v>
      </c>
    </row>
    <row r="10" spans="1:17" x14ac:dyDescent="0.3">
      <c r="A10" t="s">
        <v>1503</v>
      </c>
      <c r="B10" t="s">
        <v>1504</v>
      </c>
      <c r="C10" t="s">
        <v>1505</v>
      </c>
      <c r="D10">
        <v>15</v>
      </c>
      <c r="E10" t="s">
        <v>1498</v>
      </c>
      <c r="F10" t="s">
        <v>1499</v>
      </c>
      <c r="G10">
        <v>1</v>
      </c>
      <c r="H10" t="s">
        <v>1083</v>
      </c>
      <c r="I10" t="s">
        <v>1465</v>
      </c>
      <c r="J10" t="s">
        <v>1466</v>
      </c>
      <c r="L10">
        <v>17430</v>
      </c>
      <c r="M10" t="s">
        <v>1494</v>
      </c>
      <c r="N10" t="s">
        <v>1064</v>
      </c>
      <c r="O10" t="s">
        <v>1467</v>
      </c>
      <c r="Q10" s="8" t="str">
        <f>IFERROR((VLOOKUP(TRIM(C10),principal!A:G,7,0)),"REVISAR")</f>
        <v>REVISAR</v>
      </c>
    </row>
    <row r="11" spans="1:17" x14ac:dyDescent="0.3">
      <c r="A11" t="s">
        <v>1506</v>
      </c>
      <c r="B11" t="s">
        <v>1507</v>
      </c>
      <c r="C11" t="s">
        <v>1508</v>
      </c>
      <c r="D11">
        <v>15</v>
      </c>
      <c r="E11" t="s">
        <v>1498</v>
      </c>
      <c r="F11" t="s">
        <v>1499</v>
      </c>
      <c r="G11">
        <v>1</v>
      </c>
      <c r="H11" t="s">
        <v>1084</v>
      </c>
      <c r="I11" t="s">
        <v>1465</v>
      </c>
      <c r="J11" t="s">
        <v>1466</v>
      </c>
      <c r="L11">
        <v>17430</v>
      </c>
      <c r="M11" t="s">
        <v>1494</v>
      </c>
      <c r="N11" t="s">
        <v>1064</v>
      </c>
      <c r="O11" t="s">
        <v>1467</v>
      </c>
      <c r="Q11" s="8" t="str">
        <f>IFERROR((VLOOKUP(TRIM(C11),principal!A:G,7,0)),"REVISAR")</f>
        <v>REVISAR</v>
      </c>
    </row>
    <row r="12" spans="1:17" x14ac:dyDescent="0.3">
      <c r="A12" s="7" t="s">
        <v>1509</v>
      </c>
      <c r="B12" t="s">
        <v>1510</v>
      </c>
      <c r="C12" t="s">
        <v>21</v>
      </c>
      <c r="D12">
        <v>30</v>
      </c>
      <c r="E12" t="s">
        <v>1511</v>
      </c>
      <c r="F12" t="s">
        <v>1512</v>
      </c>
      <c r="G12">
        <v>1</v>
      </c>
      <c r="H12" t="s">
        <v>1080</v>
      </c>
      <c r="I12" t="s">
        <v>1465</v>
      </c>
      <c r="J12" t="s">
        <v>1466</v>
      </c>
      <c r="L12">
        <v>38418</v>
      </c>
      <c r="M12" t="s">
        <v>1494</v>
      </c>
      <c r="N12" t="s">
        <v>1064</v>
      </c>
      <c r="O12" t="s">
        <v>1467</v>
      </c>
      <c r="Q12" s="8" t="str">
        <f>IFERROR((VLOOKUP(TRIM(C12),principal!A:G,7,0)),"REVISAR")</f>
        <v>REVISAR</v>
      </c>
    </row>
    <row r="13" spans="1:17" x14ac:dyDescent="0.3">
      <c r="A13" t="s">
        <v>1513</v>
      </c>
      <c r="B13" t="s">
        <v>1514</v>
      </c>
      <c r="C13" t="s">
        <v>12</v>
      </c>
      <c r="D13">
        <v>15</v>
      </c>
      <c r="E13" t="s">
        <v>1515</v>
      </c>
      <c r="F13" t="s">
        <v>1516</v>
      </c>
      <c r="G13">
        <v>1</v>
      </c>
      <c r="H13" t="s">
        <v>1075</v>
      </c>
      <c r="I13" t="s">
        <v>1465</v>
      </c>
      <c r="J13" t="s">
        <v>1466</v>
      </c>
      <c r="L13">
        <v>15570</v>
      </c>
      <c r="M13" t="s">
        <v>1494</v>
      </c>
      <c r="N13" t="s">
        <v>1026</v>
      </c>
      <c r="O13" t="s">
        <v>1467</v>
      </c>
      <c r="Q13" s="8" t="str">
        <f>IFERROR((VLOOKUP(TRIM(C13),principal!A:G,7,0)),"REVISAR")</f>
        <v>REVISAR</v>
      </c>
    </row>
    <row r="14" spans="1:17" x14ac:dyDescent="0.3">
      <c r="A14" t="s">
        <v>1517</v>
      </c>
      <c r="B14" t="s">
        <v>1518</v>
      </c>
      <c r="C14" t="s">
        <v>1519</v>
      </c>
      <c r="D14">
        <v>30</v>
      </c>
      <c r="E14" t="s">
        <v>1520</v>
      </c>
      <c r="F14" t="s">
        <v>1521</v>
      </c>
      <c r="G14">
        <v>1</v>
      </c>
      <c r="H14" t="s">
        <v>1079</v>
      </c>
      <c r="I14" t="s">
        <v>1465</v>
      </c>
      <c r="J14" t="s">
        <v>1466</v>
      </c>
      <c r="L14">
        <v>37837</v>
      </c>
      <c r="M14" t="s">
        <v>1494</v>
      </c>
      <c r="N14" t="s">
        <v>1064</v>
      </c>
      <c r="O14" t="s">
        <v>1467</v>
      </c>
      <c r="Q14" s="8" t="str">
        <f>IFERROR((VLOOKUP(TRIM(C14),principal!A:G,7,0)),"REVISAR")</f>
        <v>REVISAR</v>
      </c>
    </row>
    <row r="15" spans="1:17" x14ac:dyDescent="0.3">
      <c r="A15" t="s">
        <v>1522</v>
      </c>
      <c r="B15" t="s">
        <v>1523</v>
      </c>
      <c r="C15" t="s">
        <v>16</v>
      </c>
      <c r="D15">
        <v>15</v>
      </c>
      <c r="E15" t="s">
        <v>1524</v>
      </c>
      <c r="F15" t="s">
        <v>1525</v>
      </c>
      <c r="G15">
        <v>1</v>
      </c>
      <c r="H15" t="s">
        <v>1077</v>
      </c>
      <c r="I15" t="s">
        <v>1465</v>
      </c>
      <c r="J15" t="s">
        <v>1466</v>
      </c>
      <c r="L15">
        <v>8940</v>
      </c>
      <c r="M15" t="s">
        <v>1494</v>
      </c>
      <c r="N15" t="s">
        <v>1026</v>
      </c>
      <c r="O15" t="s">
        <v>1467</v>
      </c>
      <c r="Q15" s="8" t="str">
        <f>IFERROR((VLOOKUP(TRIM(C15),principal!A:G,7,0)),"REVISAR")</f>
        <v>REVISAR</v>
      </c>
    </row>
    <row r="16" spans="1:17" x14ac:dyDescent="0.3">
      <c r="A16" t="s">
        <v>1526</v>
      </c>
      <c r="B16" t="s">
        <v>1527</v>
      </c>
      <c r="C16" t="s">
        <v>18</v>
      </c>
      <c r="D16">
        <v>15</v>
      </c>
      <c r="E16" t="s">
        <v>1528</v>
      </c>
      <c r="F16" t="s">
        <v>1529</v>
      </c>
      <c r="G16">
        <v>1</v>
      </c>
      <c r="H16" t="s">
        <v>1078</v>
      </c>
      <c r="I16" t="s">
        <v>1465</v>
      </c>
      <c r="J16" t="s">
        <v>1466</v>
      </c>
      <c r="L16">
        <v>20994</v>
      </c>
      <c r="M16" t="s">
        <v>1494</v>
      </c>
      <c r="N16" t="s">
        <v>1064</v>
      </c>
      <c r="O16" t="s">
        <v>1467</v>
      </c>
      <c r="Q16" s="8" t="str">
        <f>IFERROR((VLOOKUP(TRIM(C16),principal!A:G,7,0)),"REVISAR")</f>
        <v>REVISAR</v>
      </c>
    </row>
    <row r="17" spans="1:17" x14ac:dyDescent="0.3">
      <c r="A17" t="s">
        <v>1530</v>
      </c>
      <c r="B17" t="s">
        <v>1531</v>
      </c>
      <c r="C17" t="s">
        <v>14</v>
      </c>
      <c r="D17">
        <v>15</v>
      </c>
      <c r="E17" t="s">
        <v>1532</v>
      </c>
      <c r="F17" t="s">
        <v>1533</v>
      </c>
      <c r="G17">
        <v>1</v>
      </c>
      <c r="H17" t="s">
        <v>1076</v>
      </c>
      <c r="I17" t="s">
        <v>1465</v>
      </c>
      <c r="J17" t="s">
        <v>1466</v>
      </c>
      <c r="L17">
        <v>28618</v>
      </c>
      <c r="M17" t="s">
        <v>1494</v>
      </c>
      <c r="N17" t="s">
        <v>1026</v>
      </c>
      <c r="O17" t="s">
        <v>1467</v>
      </c>
      <c r="Q17" s="8" t="str">
        <f>IFERROR((VLOOKUP(TRIM(C17),principal!A:G,7,0)),"REVISAR")</f>
        <v>REVISAR</v>
      </c>
    </row>
    <row r="18" spans="1:17" x14ac:dyDescent="0.3">
      <c r="A18" t="s">
        <v>1534</v>
      </c>
      <c r="B18" t="s">
        <v>1535</v>
      </c>
      <c r="C18" t="s">
        <v>1536</v>
      </c>
      <c r="D18">
        <v>30</v>
      </c>
      <c r="E18" t="s">
        <v>1537</v>
      </c>
      <c r="F18" t="s">
        <v>1538</v>
      </c>
      <c r="G18">
        <v>1</v>
      </c>
      <c r="H18" t="s">
        <v>1539</v>
      </c>
      <c r="I18" t="s">
        <v>1465</v>
      </c>
      <c r="J18" t="s">
        <v>1466</v>
      </c>
      <c r="L18">
        <v>56101</v>
      </c>
      <c r="M18" t="s">
        <v>1033</v>
      </c>
      <c r="N18" t="s">
        <v>1540</v>
      </c>
      <c r="O18" t="s">
        <v>1467</v>
      </c>
      <c r="Q18" s="8" t="str">
        <f>IFERROR((VLOOKUP(TRIM(C18),principal!A:G,7,0)),"REVISAR")</f>
        <v>BASESTAND</v>
      </c>
    </row>
    <row r="19" spans="1:17" x14ac:dyDescent="0.3">
      <c r="A19" t="s">
        <v>1541</v>
      </c>
      <c r="B19" t="s">
        <v>1542</v>
      </c>
      <c r="C19" t="s">
        <v>30</v>
      </c>
      <c r="D19">
        <v>30</v>
      </c>
      <c r="E19" t="s">
        <v>1543</v>
      </c>
      <c r="F19" t="s">
        <v>1544</v>
      </c>
      <c r="G19">
        <v>1</v>
      </c>
      <c r="H19" t="s">
        <v>1545</v>
      </c>
      <c r="I19" t="s">
        <v>1465</v>
      </c>
      <c r="J19" t="s">
        <v>1466</v>
      </c>
      <c r="L19">
        <v>45905</v>
      </c>
      <c r="M19" t="s">
        <v>1033</v>
      </c>
      <c r="N19" t="s">
        <v>1540</v>
      </c>
      <c r="O19" t="s">
        <v>1467</v>
      </c>
      <c r="Q19" s="8" t="str">
        <f>IFERROR((VLOOKUP(TRIM(C19),principal!A:G,7,0)),"REVISAR")</f>
        <v>BASEKUZO</v>
      </c>
    </row>
    <row r="20" spans="1:17" x14ac:dyDescent="0.3">
      <c r="A20" t="s">
        <v>1546</v>
      </c>
      <c r="B20" t="s">
        <v>1547</v>
      </c>
      <c r="C20" t="s">
        <v>28</v>
      </c>
      <c r="D20">
        <v>0</v>
      </c>
      <c r="E20" t="s">
        <v>1548</v>
      </c>
      <c r="F20" t="s">
        <v>1549</v>
      </c>
      <c r="G20">
        <v>1</v>
      </c>
      <c r="H20" t="s">
        <v>1086</v>
      </c>
      <c r="I20" t="s">
        <v>1465</v>
      </c>
      <c r="J20" t="s">
        <v>1466</v>
      </c>
      <c r="L20">
        <v>50953</v>
      </c>
      <c r="M20" t="s">
        <v>1055</v>
      </c>
      <c r="N20" t="s">
        <v>1056</v>
      </c>
      <c r="O20" t="s">
        <v>1467</v>
      </c>
      <c r="Q20" s="8" t="str">
        <f>IFERROR((VLOOKUP(TRIM(C20),principal!A:G,7,0)),"REVISAR")</f>
        <v>REVISAR</v>
      </c>
    </row>
    <row r="21" spans="1:17" x14ac:dyDescent="0.3">
      <c r="A21" t="s">
        <v>1550</v>
      </c>
      <c r="B21" t="s">
        <v>1551</v>
      </c>
      <c r="C21" t="s">
        <v>36</v>
      </c>
      <c r="D21">
        <v>15</v>
      </c>
      <c r="E21" t="s">
        <v>1552</v>
      </c>
      <c r="F21" t="s">
        <v>1553</v>
      </c>
      <c r="G21">
        <v>1</v>
      </c>
      <c r="H21" t="s">
        <v>1089</v>
      </c>
      <c r="I21" t="s">
        <v>1465</v>
      </c>
      <c r="J21" t="s">
        <v>1466</v>
      </c>
      <c r="L21">
        <v>147551</v>
      </c>
      <c r="M21" t="s">
        <v>1046</v>
      </c>
      <c r="N21" t="s">
        <v>1050</v>
      </c>
      <c r="O21" t="s">
        <v>1467</v>
      </c>
      <c r="Q21" s="8" t="str">
        <f>IFERROR((VLOOKUP(TRIM(C21),principal!A:G,7,0)),"REVISAR")</f>
        <v>REVISAR</v>
      </c>
    </row>
    <row r="22" spans="1:17" x14ac:dyDescent="0.3">
      <c r="A22" t="s">
        <v>1554</v>
      </c>
      <c r="B22" t="s">
        <v>1555</v>
      </c>
      <c r="C22" t="s">
        <v>1556</v>
      </c>
      <c r="D22">
        <v>15</v>
      </c>
      <c r="E22" t="s">
        <v>1557</v>
      </c>
      <c r="F22" t="s">
        <v>1558</v>
      </c>
      <c r="G22">
        <v>1</v>
      </c>
      <c r="H22" t="s">
        <v>1087</v>
      </c>
      <c r="I22" t="s">
        <v>1465</v>
      </c>
      <c r="J22" t="s">
        <v>1466</v>
      </c>
      <c r="L22">
        <v>109558</v>
      </c>
      <c r="M22" t="s">
        <v>1046</v>
      </c>
      <c r="N22" t="s">
        <v>1050</v>
      </c>
      <c r="O22" t="s">
        <v>1467</v>
      </c>
      <c r="Q22" s="8" t="str">
        <f>IFERROR((VLOOKUP(TRIM(C22),principal!A:G,7,0)),"REVISAR")</f>
        <v>REVISAR</v>
      </c>
    </row>
    <row r="23" spans="1:17" x14ac:dyDescent="0.3">
      <c r="A23" t="s">
        <v>1559</v>
      </c>
      <c r="B23" t="s">
        <v>1560</v>
      </c>
      <c r="C23" t="s">
        <v>34</v>
      </c>
      <c r="D23">
        <v>15</v>
      </c>
      <c r="E23" t="s">
        <v>1561</v>
      </c>
      <c r="F23" t="s">
        <v>1562</v>
      </c>
      <c r="G23">
        <v>1</v>
      </c>
      <c r="H23" t="s">
        <v>1088</v>
      </c>
      <c r="I23" t="s">
        <v>1465</v>
      </c>
      <c r="J23" t="s">
        <v>1466</v>
      </c>
      <c r="L23">
        <v>116944</v>
      </c>
      <c r="M23" t="s">
        <v>1046</v>
      </c>
      <c r="N23" t="s">
        <v>1050</v>
      </c>
      <c r="O23" t="s">
        <v>1467</v>
      </c>
      <c r="Q23" s="8" t="str">
        <f>IFERROR((VLOOKUP(TRIM(C23),principal!A:G,7,0)),"REVISAR")</f>
        <v>REVISAR</v>
      </c>
    </row>
    <row r="24" spans="1:17" x14ac:dyDescent="0.3">
      <c r="A24" t="s">
        <v>1563</v>
      </c>
      <c r="B24" t="s">
        <v>1564</v>
      </c>
      <c r="C24" t="s">
        <v>42</v>
      </c>
      <c r="D24">
        <v>15</v>
      </c>
      <c r="E24" t="s">
        <v>1565</v>
      </c>
      <c r="F24" t="s">
        <v>1566</v>
      </c>
      <c r="G24">
        <v>1</v>
      </c>
      <c r="H24" t="s">
        <v>1092</v>
      </c>
      <c r="I24" t="s">
        <v>1465</v>
      </c>
      <c r="J24" t="s">
        <v>1466</v>
      </c>
      <c r="L24">
        <v>5721</v>
      </c>
      <c r="M24" t="s">
        <v>1046</v>
      </c>
      <c r="N24" t="s">
        <v>1050</v>
      </c>
      <c r="O24" t="s">
        <v>1467</v>
      </c>
      <c r="Q24" s="8" t="str">
        <f>IFERROR((VLOOKUP(TRIM(C24),principal!A:G,7,0)),"REVISAR")</f>
        <v>REVISAR</v>
      </c>
    </row>
    <row r="25" spans="1:17" x14ac:dyDescent="0.3">
      <c r="A25" t="s">
        <v>1567</v>
      </c>
      <c r="B25" t="s">
        <v>1568</v>
      </c>
      <c r="C25" t="s">
        <v>1569</v>
      </c>
      <c r="D25">
        <v>15</v>
      </c>
      <c r="E25" t="s">
        <v>1570</v>
      </c>
      <c r="F25" t="s">
        <v>1571</v>
      </c>
      <c r="G25">
        <v>1</v>
      </c>
      <c r="H25" t="s">
        <v>1095</v>
      </c>
      <c r="I25" t="s">
        <v>1465</v>
      </c>
      <c r="J25" t="s">
        <v>1466</v>
      </c>
      <c r="L25">
        <v>8499</v>
      </c>
      <c r="M25" t="s">
        <v>1046</v>
      </c>
      <c r="N25" t="s">
        <v>1050</v>
      </c>
      <c r="O25" t="s">
        <v>1467</v>
      </c>
      <c r="Q25" s="8" t="str">
        <f>IFERROR((VLOOKUP(TRIM(C25),principal!A:G,7,0)),"REVISAR")</f>
        <v>CELADATA</v>
      </c>
    </row>
    <row r="26" spans="1:17" x14ac:dyDescent="0.3">
      <c r="A26" t="s">
        <v>1572</v>
      </c>
      <c r="B26" t="s">
        <v>1573</v>
      </c>
      <c r="C26" t="s">
        <v>1574</v>
      </c>
      <c r="D26">
        <v>0</v>
      </c>
      <c r="E26" t="s">
        <v>1575</v>
      </c>
      <c r="F26" t="s">
        <v>1576</v>
      </c>
      <c r="G26">
        <v>1</v>
      </c>
      <c r="H26" t="s">
        <v>1104</v>
      </c>
      <c r="I26" t="s">
        <v>1465</v>
      </c>
      <c r="J26" t="s">
        <v>1466</v>
      </c>
      <c r="L26">
        <v>10216</v>
      </c>
      <c r="M26" t="s">
        <v>1046</v>
      </c>
      <c r="N26" t="s">
        <v>1050</v>
      </c>
      <c r="O26" t="s">
        <v>1467</v>
      </c>
      <c r="Q26" s="8" t="str">
        <f>IFERROR((VLOOKUP(TRIM(C26),principal!A:G,7,0)),"REVISAR")</f>
        <v>REVISAR</v>
      </c>
    </row>
    <row r="27" spans="1:17" x14ac:dyDescent="0.3">
      <c r="A27" t="s">
        <v>1577</v>
      </c>
      <c r="B27" t="s">
        <v>1578</v>
      </c>
      <c r="C27" t="s">
        <v>38</v>
      </c>
      <c r="D27">
        <v>720</v>
      </c>
      <c r="E27" t="s">
        <v>1579</v>
      </c>
      <c r="F27" t="s">
        <v>1580</v>
      </c>
      <c r="G27">
        <v>1</v>
      </c>
      <c r="H27" t="s">
        <v>1090</v>
      </c>
      <c r="I27" t="s">
        <v>1465</v>
      </c>
      <c r="J27" t="s">
        <v>1466</v>
      </c>
      <c r="L27">
        <v>25388</v>
      </c>
      <c r="M27" t="s">
        <v>1046</v>
      </c>
      <c r="N27" t="s">
        <v>1050</v>
      </c>
      <c r="O27" t="s">
        <v>1467</v>
      </c>
      <c r="Q27" s="8" t="str">
        <f>IFERROR((VLOOKUP(TRIM(C27),principal!A:G,7,0)),"REVISAR")</f>
        <v>REVISAR</v>
      </c>
    </row>
    <row r="28" spans="1:17" x14ac:dyDescent="0.3">
      <c r="A28" t="s">
        <v>1581</v>
      </c>
      <c r="B28" t="s">
        <v>1582</v>
      </c>
      <c r="C28" t="s">
        <v>61</v>
      </c>
      <c r="D28">
        <v>0</v>
      </c>
      <c r="E28" t="s">
        <v>1583</v>
      </c>
      <c r="F28" t="s">
        <v>1584</v>
      </c>
      <c r="G28">
        <v>1</v>
      </c>
      <c r="H28" t="s">
        <v>1102</v>
      </c>
      <c r="I28" t="s">
        <v>1465</v>
      </c>
      <c r="J28" t="s">
        <v>1466</v>
      </c>
      <c r="L28">
        <v>2503</v>
      </c>
      <c r="M28" t="s">
        <v>1046</v>
      </c>
      <c r="N28" t="s">
        <v>1050</v>
      </c>
      <c r="O28" t="s">
        <v>1467</v>
      </c>
      <c r="Q28" s="8" t="str">
        <f>IFERROR((VLOOKUP(TRIM(C28),principal!A:G,7,0)),"REVISAR")</f>
        <v>REVISAR</v>
      </c>
    </row>
    <row r="29" spans="1:17" x14ac:dyDescent="0.3">
      <c r="A29" t="s">
        <v>1585</v>
      </c>
      <c r="B29" t="s">
        <v>1586</v>
      </c>
      <c r="C29" t="s">
        <v>1587</v>
      </c>
      <c r="D29">
        <v>0</v>
      </c>
      <c r="E29" t="s">
        <v>1588</v>
      </c>
      <c r="F29" t="s">
        <v>1589</v>
      </c>
      <c r="G29">
        <v>1</v>
      </c>
      <c r="H29" t="s">
        <v>1102</v>
      </c>
      <c r="I29" t="s">
        <v>1465</v>
      </c>
      <c r="J29" t="s">
        <v>1466</v>
      </c>
      <c r="L29">
        <v>3218</v>
      </c>
      <c r="M29" t="s">
        <v>1046</v>
      </c>
      <c r="N29" t="s">
        <v>1050</v>
      </c>
      <c r="O29" t="s">
        <v>1467</v>
      </c>
      <c r="Q29" s="8" t="str">
        <f>IFERROR((VLOOKUP(TRIM(C29),principal!A:G,7,0)),"REVISAR")</f>
        <v>REVISAR</v>
      </c>
    </row>
    <row r="30" spans="1:17" x14ac:dyDescent="0.3">
      <c r="A30" t="s">
        <v>1590</v>
      </c>
      <c r="B30" t="s">
        <v>1591</v>
      </c>
      <c r="C30" t="s">
        <v>1592</v>
      </c>
      <c r="D30">
        <v>0</v>
      </c>
      <c r="E30" t="s">
        <v>1593</v>
      </c>
      <c r="F30" t="s">
        <v>1594</v>
      </c>
      <c r="G30">
        <v>1</v>
      </c>
      <c r="H30" t="s">
        <v>1102</v>
      </c>
      <c r="I30" t="s">
        <v>1465</v>
      </c>
      <c r="J30" t="s">
        <v>1466</v>
      </c>
      <c r="L30">
        <v>14761</v>
      </c>
      <c r="M30" t="s">
        <v>1046</v>
      </c>
      <c r="N30" t="s">
        <v>1050</v>
      </c>
      <c r="O30" t="s">
        <v>1467</v>
      </c>
      <c r="Q30" s="8" t="str">
        <f>IFERROR((VLOOKUP(TRIM(C30),principal!A:G,7,0)),"REVISAR")</f>
        <v>REVISAR</v>
      </c>
    </row>
    <row r="31" spans="1:17" x14ac:dyDescent="0.3">
      <c r="A31" t="s">
        <v>1595</v>
      </c>
      <c r="B31" t="s">
        <v>1596</v>
      </c>
      <c r="C31" t="s">
        <v>65</v>
      </c>
      <c r="D31">
        <v>15</v>
      </c>
      <c r="E31" t="s">
        <v>1597</v>
      </c>
      <c r="F31" t="s">
        <v>1598</v>
      </c>
      <c r="G31">
        <v>1</v>
      </c>
      <c r="H31" t="s">
        <v>1103</v>
      </c>
      <c r="I31" t="s">
        <v>1465</v>
      </c>
      <c r="J31" t="s">
        <v>1466</v>
      </c>
      <c r="L31">
        <v>5057</v>
      </c>
      <c r="M31" t="s">
        <v>1046</v>
      </c>
      <c r="N31" t="s">
        <v>1050</v>
      </c>
      <c r="O31" t="s">
        <v>1467</v>
      </c>
      <c r="Q31" s="8" t="str">
        <f>IFERROR((VLOOKUP(TRIM(C31),principal!A:G,7,0)),"REVISAR")</f>
        <v>REVISAR</v>
      </c>
    </row>
    <row r="32" spans="1:17" x14ac:dyDescent="0.3">
      <c r="A32" t="s">
        <v>1599</v>
      </c>
      <c r="B32" t="s">
        <v>1600</v>
      </c>
      <c r="C32" t="s">
        <v>67</v>
      </c>
      <c r="D32">
        <v>15</v>
      </c>
      <c r="E32" t="s">
        <v>1601</v>
      </c>
      <c r="F32" t="s">
        <v>1602</v>
      </c>
      <c r="G32">
        <v>1</v>
      </c>
      <c r="H32" t="s">
        <v>1102</v>
      </c>
      <c r="I32" t="s">
        <v>1465</v>
      </c>
      <c r="J32" t="s">
        <v>1466</v>
      </c>
      <c r="L32">
        <v>6257</v>
      </c>
      <c r="M32" t="s">
        <v>1046</v>
      </c>
      <c r="N32" t="s">
        <v>1050</v>
      </c>
      <c r="O32" t="s">
        <v>1467</v>
      </c>
      <c r="Q32" s="8" t="str">
        <f>IFERROR((VLOOKUP(TRIM(C32),principal!A:G,7,0)),"REVISAR")</f>
        <v>REVISAR</v>
      </c>
    </row>
    <row r="33" spans="1:17" x14ac:dyDescent="0.3">
      <c r="A33" t="s">
        <v>1603</v>
      </c>
      <c r="B33" t="s">
        <v>1604</v>
      </c>
      <c r="C33" t="s">
        <v>1605</v>
      </c>
      <c r="D33">
        <v>15</v>
      </c>
      <c r="E33" t="s">
        <v>1606</v>
      </c>
      <c r="F33" t="s">
        <v>1607</v>
      </c>
      <c r="G33">
        <v>1</v>
      </c>
      <c r="H33" t="s">
        <v>1093</v>
      </c>
      <c r="I33" t="s">
        <v>1465</v>
      </c>
      <c r="J33" t="s">
        <v>1466</v>
      </c>
      <c r="L33">
        <v>5998</v>
      </c>
      <c r="M33" t="s">
        <v>1046</v>
      </c>
      <c r="N33" t="s">
        <v>1050</v>
      </c>
      <c r="O33" t="s">
        <v>1467</v>
      </c>
      <c r="Q33" s="8" t="str">
        <f>IFERROR((VLOOKUP(TRIM(C33),principal!A:G,7,0)),"REVISAR")</f>
        <v>PATCH08</v>
      </c>
    </row>
    <row r="34" spans="1:17" x14ac:dyDescent="0.3">
      <c r="A34" t="s">
        <v>1608</v>
      </c>
      <c r="B34" t="s">
        <v>1609</v>
      </c>
      <c r="C34" t="s">
        <v>49</v>
      </c>
      <c r="D34">
        <v>15</v>
      </c>
      <c r="E34" t="s">
        <v>1610</v>
      </c>
      <c r="F34" t="s">
        <v>1611</v>
      </c>
      <c r="G34">
        <v>1</v>
      </c>
      <c r="H34" t="s">
        <v>1093</v>
      </c>
      <c r="I34" t="s">
        <v>1465</v>
      </c>
      <c r="J34" t="s">
        <v>1466</v>
      </c>
      <c r="L34">
        <v>18175</v>
      </c>
      <c r="M34" t="s">
        <v>1046</v>
      </c>
      <c r="N34" t="s">
        <v>1050</v>
      </c>
      <c r="O34" t="s">
        <v>1467</v>
      </c>
      <c r="Q34" s="8" t="str">
        <f>IFERROR((VLOOKUP(TRIM(C34),principal!A:G,7,0)),"REVISAR")</f>
        <v>PATCH100</v>
      </c>
    </row>
    <row r="35" spans="1:17" x14ac:dyDescent="0.3">
      <c r="A35" t="s">
        <v>1612</v>
      </c>
      <c r="B35" t="s">
        <v>1613</v>
      </c>
      <c r="C35" t="s">
        <v>51</v>
      </c>
      <c r="D35">
        <v>15</v>
      </c>
      <c r="E35" t="s">
        <v>1614</v>
      </c>
      <c r="F35" t="s">
        <v>1615</v>
      </c>
      <c r="G35">
        <v>1</v>
      </c>
      <c r="H35" t="s">
        <v>1093</v>
      </c>
      <c r="I35" t="s">
        <v>1465</v>
      </c>
      <c r="J35" t="s">
        <v>1466</v>
      </c>
      <c r="L35">
        <v>23367</v>
      </c>
      <c r="M35" t="s">
        <v>1046</v>
      </c>
      <c r="N35" t="s">
        <v>1050</v>
      </c>
      <c r="O35" t="s">
        <v>1467</v>
      </c>
      <c r="Q35" s="8" t="str">
        <f>IFERROR((VLOOKUP(TRIM(C35),principal!A:G,7,0)),"REVISAR")</f>
        <v>PATCH150</v>
      </c>
    </row>
    <row r="36" spans="1:17" x14ac:dyDescent="0.3">
      <c r="A36" t="s">
        <v>1616</v>
      </c>
      <c r="B36" t="s">
        <v>1617</v>
      </c>
      <c r="C36" t="s">
        <v>53</v>
      </c>
      <c r="D36">
        <v>15</v>
      </c>
      <c r="E36" t="s">
        <v>1618</v>
      </c>
      <c r="F36" t="s">
        <v>1619</v>
      </c>
      <c r="G36">
        <v>1</v>
      </c>
      <c r="H36" t="s">
        <v>1093</v>
      </c>
      <c r="I36" t="s">
        <v>1465</v>
      </c>
      <c r="J36" t="s">
        <v>1466</v>
      </c>
      <c r="L36">
        <v>31157</v>
      </c>
      <c r="M36" t="s">
        <v>1046</v>
      </c>
      <c r="N36" t="s">
        <v>1050</v>
      </c>
      <c r="O36" t="s">
        <v>1467</v>
      </c>
      <c r="Q36" s="8" t="str">
        <f>IFERROR((VLOOKUP(TRIM(C36),principal!A:G,7,0)),"REVISAR")</f>
        <v>PATCH200</v>
      </c>
    </row>
    <row r="37" spans="1:17" x14ac:dyDescent="0.3">
      <c r="A37" t="s">
        <v>1620</v>
      </c>
      <c r="B37" t="s">
        <v>1621</v>
      </c>
      <c r="C37" t="s">
        <v>1622</v>
      </c>
      <c r="D37">
        <v>15</v>
      </c>
      <c r="E37" t="s">
        <v>1623</v>
      </c>
      <c r="F37" t="s">
        <v>1624</v>
      </c>
      <c r="G37">
        <v>1</v>
      </c>
      <c r="H37" t="s">
        <v>1093</v>
      </c>
      <c r="I37" t="s">
        <v>1465</v>
      </c>
      <c r="J37" t="s">
        <v>1466</v>
      </c>
      <c r="L37">
        <v>6491</v>
      </c>
      <c r="M37" t="s">
        <v>1046</v>
      </c>
      <c r="N37" t="s">
        <v>1050</v>
      </c>
      <c r="O37" t="s">
        <v>1467</v>
      </c>
      <c r="Q37" s="8" t="str">
        <f>IFERROR((VLOOKUP(TRIM(C37),principal!A:G,7,0)),"REVISAR")</f>
        <v>PATCH18</v>
      </c>
    </row>
    <row r="38" spans="1:17" x14ac:dyDescent="0.3">
      <c r="A38" t="s">
        <v>1625</v>
      </c>
      <c r="B38" t="s">
        <v>1626</v>
      </c>
      <c r="C38" t="s">
        <v>1627</v>
      </c>
      <c r="D38">
        <v>15</v>
      </c>
      <c r="E38" t="s">
        <v>1628</v>
      </c>
      <c r="F38" t="s">
        <v>1629</v>
      </c>
      <c r="G38">
        <v>1</v>
      </c>
      <c r="H38" t="s">
        <v>1093</v>
      </c>
      <c r="I38" t="s">
        <v>1465</v>
      </c>
      <c r="J38" t="s">
        <v>1466</v>
      </c>
      <c r="L38">
        <v>9347</v>
      </c>
      <c r="M38" t="s">
        <v>1046</v>
      </c>
      <c r="N38" t="s">
        <v>1050</v>
      </c>
      <c r="O38" t="s">
        <v>1467</v>
      </c>
      <c r="Q38" s="8" t="str">
        <f>IFERROR((VLOOKUP(TRIM(C38),principal!A:G,7,0)),"REVISAR")</f>
        <v>PATCH3</v>
      </c>
    </row>
    <row r="39" spans="1:17" x14ac:dyDescent="0.3">
      <c r="A39" t="s">
        <v>1630</v>
      </c>
      <c r="B39" t="s">
        <v>1631</v>
      </c>
      <c r="C39" t="s">
        <v>47</v>
      </c>
      <c r="D39">
        <v>15</v>
      </c>
      <c r="E39" t="s">
        <v>1632</v>
      </c>
      <c r="F39" t="s">
        <v>1633</v>
      </c>
      <c r="G39">
        <v>1</v>
      </c>
      <c r="H39" t="s">
        <v>1093</v>
      </c>
      <c r="I39" t="s">
        <v>1465</v>
      </c>
      <c r="J39" t="s">
        <v>1466</v>
      </c>
      <c r="L39">
        <v>12203</v>
      </c>
      <c r="M39" t="s">
        <v>1046</v>
      </c>
      <c r="N39" t="s">
        <v>1050</v>
      </c>
      <c r="O39" t="s">
        <v>1467</v>
      </c>
      <c r="Q39" s="8" t="str">
        <f>IFERROR((VLOOKUP(TRIM(C39),principal!A:G,7,0)),"REVISAR")</f>
        <v>PATCH50</v>
      </c>
    </row>
    <row r="40" spans="1:17" x14ac:dyDescent="0.3">
      <c r="A40" t="s">
        <v>1634</v>
      </c>
      <c r="B40" t="s">
        <v>1635</v>
      </c>
      <c r="C40" t="s">
        <v>40</v>
      </c>
      <c r="D40">
        <v>15</v>
      </c>
      <c r="E40" t="s">
        <v>1636</v>
      </c>
      <c r="F40" t="s">
        <v>1637</v>
      </c>
      <c r="G40">
        <v>1</v>
      </c>
      <c r="H40" t="s">
        <v>1091</v>
      </c>
      <c r="I40" t="s">
        <v>1465</v>
      </c>
      <c r="J40" t="s">
        <v>1466</v>
      </c>
      <c r="L40">
        <v>2988</v>
      </c>
      <c r="M40" t="s">
        <v>1046</v>
      </c>
      <c r="N40" t="s">
        <v>1050</v>
      </c>
      <c r="O40" t="s">
        <v>1467</v>
      </c>
      <c r="Q40" s="8" t="str">
        <f>IFERROR((VLOOKUP(TRIM(C40),principal!A:G,7,0)),"REVISAR")</f>
        <v>AMINICEL5</v>
      </c>
    </row>
    <row r="41" spans="1:17" x14ac:dyDescent="0.3">
      <c r="A41" t="s">
        <v>1638</v>
      </c>
      <c r="B41" t="s">
        <v>1639</v>
      </c>
      <c r="C41" t="s">
        <v>1640</v>
      </c>
      <c r="D41">
        <v>15</v>
      </c>
      <c r="E41" t="s">
        <v>1641</v>
      </c>
      <c r="F41" t="s">
        <v>1642</v>
      </c>
      <c r="G41">
        <v>1</v>
      </c>
      <c r="H41" t="s">
        <v>1094</v>
      </c>
      <c r="I41" t="s">
        <v>1465</v>
      </c>
      <c r="J41" t="s">
        <v>1466</v>
      </c>
      <c r="L41">
        <v>5231</v>
      </c>
      <c r="M41" t="s">
        <v>1046</v>
      </c>
      <c r="N41" t="s">
        <v>1050</v>
      </c>
      <c r="O41" t="s">
        <v>1467</v>
      </c>
      <c r="Q41" s="8" t="str">
        <f>IFERROR((VLOOKUP(TRIM(C41),principal!A:G,7,0)),"REVISAR")</f>
        <v>REVISAR</v>
      </c>
    </row>
    <row r="42" spans="1:17" x14ac:dyDescent="0.3">
      <c r="A42" t="s">
        <v>1643</v>
      </c>
      <c r="B42" t="s">
        <v>1644</v>
      </c>
      <c r="C42" t="s">
        <v>72</v>
      </c>
      <c r="D42">
        <v>15</v>
      </c>
      <c r="E42" t="s">
        <v>1645</v>
      </c>
      <c r="F42" t="s">
        <v>1646</v>
      </c>
      <c r="G42">
        <v>1</v>
      </c>
      <c r="H42" t="s">
        <v>1105</v>
      </c>
      <c r="I42" t="s">
        <v>1465</v>
      </c>
      <c r="J42" t="s">
        <v>1466</v>
      </c>
      <c r="L42">
        <v>6640</v>
      </c>
      <c r="M42" t="s">
        <v>1046</v>
      </c>
      <c r="N42" t="s">
        <v>1050</v>
      </c>
      <c r="O42" t="s">
        <v>1467</v>
      </c>
      <c r="Q42" s="8" t="str">
        <f>IFERROR((VLOOKUP(TRIM(C42),principal!A:G,7,0)),"REVISAR")</f>
        <v>REVISAR</v>
      </c>
    </row>
    <row r="43" spans="1:17" x14ac:dyDescent="0.3">
      <c r="A43" t="s">
        <v>1647</v>
      </c>
      <c r="B43" t="s">
        <v>1648</v>
      </c>
      <c r="C43" t="s">
        <v>57</v>
      </c>
      <c r="D43">
        <v>15</v>
      </c>
      <c r="E43" t="s">
        <v>1649</v>
      </c>
      <c r="F43" t="s">
        <v>1650</v>
      </c>
      <c r="G43">
        <v>1</v>
      </c>
      <c r="H43" t="s">
        <v>1100</v>
      </c>
      <c r="I43" t="s">
        <v>1465</v>
      </c>
      <c r="J43" t="s">
        <v>1466</v>
      </c>
      <c r="L43">
        <v>2159</v>
      </c>
      <c r="M43" t="s">
        <v>1046</v>
      </c>
      <c r="N43" t="s">
        <v>1050</v>
      </c>
      <c r="O43" t="s">
        <v>1467</v>
      </c>
      <c r="Q43" s="8" t="str">
        <f>IFERROR((VLOOKUP(TRIM(C43),principal!A:G,7,0)),"REVISAR")</f>
        <v>REVISAR</v>
      </c>
    </row>
    <row r="44" spans="1:17" x14ac:dyDescent="0.3">
      <c r="A44" t="s">
        <v>1651</v>
      </c>
      <c r="B44" t="s">
        <v>1652</v>
      </c>
      <c r="C44" t="s">
        <v>59</v>
      </c>
      <c r="D44">
        <v>15</v>
      </c>
      <c r="E44" t="s">
        <v>1653</v>
      </c>
      <c r="F44" t="s">
        <v>1654</v>
      </c>
      <c r="G44">
        <v>1</v>
      </c>
      <c r="H44" t="s">
        <v>1101</v>
      </c>
      <c r="I44" t="s">
        <v>1465</v>
      </c>
      <c r="J44" t="s">
        <v>1466</v>
      </c>
      <c r="L44">
        <v>5052</v>
      </c>
      <c r="M44" t="s">
        <v>1046</v>
      </c>
      <c r="N44" t="s">
        <v>1050</v>
      </c>
      <c r="O44" t="s">
        <v>1467</v>
      </c>
      <c r="Q44" s="8" t="str">
        <f>IFERROR((VLOOKUP(TRIM(C44),principal!A:G,7,0)),"REVISAR")</f>
        <v>REVISAR</v>
      </c>
    </row>
    <row r="45" spans="1:17" x14ac:dyDescent="0.3">
      <c r="A45" t="s">
        <v>1655</v>
      </c>
      <c r="B45" t="s">
        <v>1656</v>
      </c>
      <c r="C45" t="s">
        <v>82</v>
      </c>
      <c r="D45">
        <v>15</v>
      </c>
      <c r="E45" t="s">
        <v>1657</v>
      </c>
      <c r="F45" t="s">
        <v>1658</v>
      </c>
      <c r="G45">
        <v>1</v>
      </c>
      <c r="H45" t="s">
        <v>1108</v>
      </c>
      <c r="I45" t="s">
        <v>1465</v>
      </c>
      <c r="J45" t="s">
        <v>1466</v>
      </c>
      <c r="L45">
        <v>5670</v>
      </c>
      <c r="M45" t="s">
        <v>1046</v>
      </c>
      <c r="N45" t="s">
        <v>1050</v>
      </c>
      <c r="O45" t="s">
        <v>1467</v>
      </c>
      <c r="Q45" s="8" t="str">
        <f>IFERROR((VLOOKUP(TRIM(C45),principal!A:G,7,0)),"REVISAR")</f>
        <v>REVISAR</v>
      </c>
    </row>
    <row r="46" spans="1:17" x14ac:dyDescent="0.3">
      <c r="A46" t="s">
        <v>1659</v>
      </c>
      <c r="B46" t="s">
        <v>1660</v>
      </c>
      <c r="C46" t="s">
        <v>78</v>
      </c>
      <c r="D46">
        <v>15</v>
      </c>
      <c r="E46" t="s">
        <v>1661</v>
      </c>
      <c r="F46" t="s">
        <v>1662</v>
      </c>
      <c r="G46">
        <v>1</v>
      </c>
      <c r="H46" t="s">
        <v>1663</v>
      </c>
      <c r="I46" t="s">
        <v>1465</v>
      </c>
      <c r="J46" t="s">
        <v>1466</v>
      </c>
      <c r="L46">
        <v>15002</v>
      </c>
      <c r="M46" t="s">
        <v>1046</v>
      </c>
      <c r="N46" t="s">
        <v>1050</v>
      </c>
      <c r="O46" t="s">
        <v>1467</v>
      </c>
      <c r="Q46" s="8" t="str">
        <f>IFERROR((VLOOKUP(TRIM(C46),principal!A:G,7,0)),"REVISAR")</f>
        <v>REVISAR</v>
      </c>
    </row>
    <row r="47" spans="1:17" x14ac:dyDescent="0.3">
      <c r="A47" t="s">
        <v>1664</v>
      </c>
      <c r="B47" t="s">
        <v>1665</v>
      </c>
      <c r="C47" t="s">
        <v>76</v>
      </c>
      <c r="D47">
        <v>15</v>
      </c>
      <c r="E47" t="s">
        <v>1666</v>
      </c>
      <c r="F47" t="s">
        <v>1667</v>
      </c>
      <c r="G47">
        <v>1</v>
      </c>
      <c r="H47" t="s">
        <v>1089</v>
      </c>
      <c r="I47" t="s">
        <v>1465</v>
      </c>
      <c r="J47" t="s">
        <v>1466</v>
      </c>
      <c r="L47">
        <v>609</v>
      </c>
      <c r="M47" t="s">
        <v>1046</v>
      </c>
      <c r="N47" t="s">
        <v>1050</v>
      </c>
      <c r="O47" t="s">
        <v>1467</v>
      </c>
      <c r="Q47" s="8" t="str">
        <f>IFERROR((VLOOKUP(TRIM(C47),principal!A:G,7,0)),"REVISAR")</f>
        <v>AF0443EXUV</v>
      </c>
    </row>
    <row r="48" spans="1:17" x14ac:dyDescent="0.3">
      <c r="A48" t="s">
        <v>1668</v>
      </c>
      <c r="B48" t="s">
        <v>1669</v>
      </c>
      <c r="C48" t="s">
        <v>74</v>
      </c>
      <c r="D48">
        <v>15</v>
      </c>
      <c r="E48" t="s">
        <v>1670</v>
      </c>
      <c r="F48" t="s">
        <v>1671</v>
      </c>
      <c r="G48">
        <v>1</v>
      </c>
      <c r="H48" t="s">
        <v>1089</v>
      </c>
      <c r="I48" t="s">
        <v>1465</v>
      </c>
      <c r="J48" t="s">
        <v>1466</v>
      </c>
      <c r="L48">
        <v>479</v>
      </c>
      <c r="M48" t="s">
        <v>1046</v>
      </c>
      <c r="N48" t="s">
        <v>1050</v>
      </c>
      <c r="O48" t="s">
        <v>1467</v>
      </c>
      <c r="Q48" s="8" t="str">
        <f>IFERROR((VLOOKUP(TRIM(C48),principal!A:G,7,0)),"REVISAR")</f>
        <v>REVISAR</v>
      </c>
    </row>
    <row r="49" spans="1:17" x14ac:dyDescent="0.3">
      <c r="A49" t="s">
        <v>1672</v>
      </c>
      <c r="B49" t="s">
        <v>1673</v>
      </c>
      <c r="C49" t="s">
        <v>80</v>
      </c>
      <c r="D49">
        <v>15</v>
      </c>
      <c r="E49" t="s">
        <v>1674</v>
      </c>
      <c r="F49" t="s">
        <v>1675</v>
      </c>
      <c r="G49">
        <v>1</v>
      </c>
      <c r="H49" t="s">
        <v>1107</v>
      </c>
      <c r="I49" t="s">
        <v>1465</v>
      </c>
      <c r="J49" t="s">
        <v>1466</v>
      </c>
      <c r="L49">
        <v>6385</v>
      </c>
      <c r="M49" t="s">
        <v>1046</v>
      </c>
      <c r="N49" t="s">
        <v>1050</v>
      </c>
      <c r="O49" t="s">
        <v>1467</v>
      </c>
      <c r="Q49" s="8" t="str">
        <f>IFERROR((VLOOKUP(TRIM(C49),principal!A:G,7,0)),"REVISAR")</f>
        <v>ACVGA1FB</v>
      </c>
    </row>
    <row r="50" spans="1:17" x14ac:dyDescent="0.3">
      <c r="A50" t="s">
        <v>1676</v>
      </c>
      <c r="B50" t="s">
        <v>1677</v>
      </c>
      <c r="C50" t="s">
        <v>1678</v>
      </c>
      <c r="D50">
        <v>360</v>
      </c>
      <c r="E50" t="s">
        <v>1679</v>
      </c>
      <c r="F50" t="s">
        <v>1680</v>
      </c>
      <c r="G50">
        <v>1</v>
      </c>
      <c r="H50" t="s">
        <v>1109</v>
      </c>
      <c r="I50" t="s">
        <v>1465</v>
      </c>
      <c r="J50" t="s">
        <v>1466</v>
      </c>
      <c r="L50">
        <v>32646</v>
      </c>
      <c r="M50" t="s">
        <v>1494</v>
      </c>
      <c r="N50" t="s">
        <v>1681</v>
      </c>
      <c r="O50" t="s">
        <v>1467</v>
      </c>
      <c r="Q50" s="8" t="str">
        <f>IFERROR((VLOOKUP(TRIM(C50),principal!A:G,7,0)),"REVISAR")</f>
        <v>REVISAR</v>
      </c>
    </row>
    <row r="51" spans="1:17" x14ac:dyDescent="0.3">
      <c r="A51" t="s">
        <v>1682</v>
      </c>
      <c r="B51" t="s">
        <v>1683</v>
      </c>
      <c r="C51" t="s">
        <v>86</v>
      </c>
      <c r="D51">
        <v>360</v>
      </c>
      <c r="E51" t="s">
        <v>1684</v>
      </c>
      <c r="F51" t="s">
        <v>1685</v>
      </c>
      <c r="G51">
        <v>1</v>
      </c>
      <c r="H51" t="s">
        <v>1110</v>
      </c>
      <c r="I51" t="s">
        <v>1465</v>
      </c>
      <c r="J51" t="s">
        <v>1466</v>
      </c>
      <c r="L51">
        <v>37243</v>
      </c>
      <c r="M51" t="s">
        <v>1494</v>
      </c>
      <c r="N51" t="s">
        <v>1681</v>
      </c>
      <c r="O51" t="s">
        <v>1467</v>
      </c>
      <c r="Q51" s="8" t="str">
        <f>IFERROR((VLOOKUP(TRIM(C51),principal!A:G,7,0)),"REVISAR")</f>
        <v>REVISAR</v>
      </c>
    </row>
    <row r="52" spans="1:17" x14ac:dyDescent="0.3">
      <c r="A52" t="s">
        <v>1686</v>
      </c>
      <c r="B52" t="s">
        <v>1687</v>
      </c>
      <c r="C52" t="s">
        <v>88</v>
      </c>
      <c r="D52">
        <v>360</v>
      </c>
      <c r="E52" t="s">
        <v>1688</v>
      </c>
      <c r="F52" t="s">
        <v>1689</v>
      </c>
      <c r="G52">
        <v>1</v>
      </c>
      <c r="H52" t="s">
        <v>1111</v>
      </c>
      <c r="I52" t="s">
        <v>1465</v>
      </c>
      <c r="J52" t="s">
        <v>1466</v>
      </c>
      <c r="L52">
        <v>68442</v>
      </c>
      <c r="M52" t="s">
        <v>1494</v>
      </c>
      <c r="N52" t="s">
        <v>1681</v>
      </c>
      <c r="O52" t="s">
        <v>1467</v>
      </c>
      <c r="Q52" s="8" t="str">
        <f>IFERROR((VLOOKUP(TRIM(C52),principal!A:G,7,0)),"REVISAR")</f>
        <v>REVISAR</v>
      </c>
    </row>
    <row r="53" spans="1:17" x14ac:dyDescent="0.3">
      <c r="A53" t="s">
        <v>1690</v>
      </c>
      <c r="B53" t="s">
        <v>1691</v>
      </c>
      <c r="C53" t="s">
        <v>116</v>
      </c>
      <c r="D53">
        <v>90</v>
      </c>
      <c r="E53" t="s">
        <v>1692</v>
      </c>
      <c r="F53" t="s">
        <v>1693</v>
      </c>
      <c r="G53">
        <v>1</v>
      </c>
      <c r="H53" t="s">
        <v>1125</v>
      </c>
      <c r="I53" t="s">
        <v>1465</v>
      </c>
      <c r="J53" t="s">
        <v>1466</v>
      </c>
      <c r="L53">
        <v>33753</v>
      </c>
      <c r="M53" t="s">
        <v>1033</v>
      </c>
      <c r="N53" t="s">
        <v>1694</v>
      </c>
      <c r="O53" t="s">
        <v>1467</v>
      </c>
      <c r="Q53" s="8" t="str">
        <f>IFERROR((VLOOKUP(TRIM(C53),principal!A:G,7,0)),"REVISAR")</f>
        <v>REVISAR</v>
      </c>
    </row>
    <row r="54" spans="1:17" x14ac:dyDescent="0.3">
      <c r="A54" t="s">
        <v>1695</v>
      </c>
      <c r="B54" t="s">
        <v>1696</v>
      </c>
      <c r="C54" t="s">
        <v>90</v>
      </c>
      <c r="D54">
        <v>15</v>
      </c>
      <c r="E54" t="s">
        <v>1697</v>
      </c>
      <c r="F54" t="s">
        <v>1698</v>
      </c>
      <c r="G54">
        <v>1</v>
      </c>
      <c r="H54" t="s">
        <v>1112</v>
      </c>
      <c r="I54" t="s">
        <v>1465</v>
      </c>
      <c r="J54" t="s">
        <v>1466</v>
      </c>
      <c r="L54">
        <v>38465</v>
      </c>
      <c r="M54" t="s">
        <v>1033</v>
      </c>
      <c r="N54" t="s">
        <v>1694</v>
      </c>
      <c r="O54" t="s">
        <v>1467</v>
      </c>
      <c r="Q54" s="8" t="str">
        <f>IFERROR((VLOOKUP(TRIM(C54),principal!A:G,7,0)),"REVISAR")</f>
        <v>ASUS12V37</v>
      </c>
    </row>
    <row r="55" spans="1:17" x14ac:dyDescent="0.3">
      <c r="A55" t="s">
        <v>1699</v>
      </c>
      <c r="B55" t="s">
        <v>1700</v>
      </c>
      <c r="C55" t="s">
        <v>1701</v>
      </c>
      <c r="D55">
        <v>15</v>
      </c>
      <c r="E55" t="s">
        <v>1702</v>
      </c>
      <c r="F55" t="s">
        <v>1703</v>
      </c>
      <c r="G55">
        <v>1</v>
      </c>
      <c r="H55" t="s">
        <v>1704</v>
      </c>
      <c r="Q55" s="8" t="str">
        <f>IFERROR((VLOOKUP(TRIM(C55),principal!A:G,7,0)),"REVISAR")</f>
        <v>REVISAR</v>
      </c>
    </row>
    <row r="56" spans="1:17" x14ac:dyDescent="0.3">
      <c r="A56" t="s">
        <v>1705</v>
      </c>
      <c r="B56" t="s">
        <v>1706</v>
      </c>
      <c r="C56" t="s">
        <v>1707</v>
      </c>
      <c r="D56">
        <v>15</v>
      </c>
      <c r="E56" t="s">
        <v>1708</v>
      </c>
      <c r="F56" t="s">
        <v>1709</v>
      </c>
      <c r="G56">
        <v>1</v>
      </c>
      <c r="H56" t="s">
        <v>1704</v>
      </c>
      <c r="Q56" s="8" t="str">
        <f>IFERROR((VLOOKUP(TRIM(C56),principal!A:G,7,0)),"REVISAR")</f>
        <v>REVISAR</v>
      </c>
    </row>
    <row r="57" spans="1:17" x14ac:dyDescent="0.3">
      <c r="A57" t="s">
        <v>1710</v>
      </c>
      <c r="B57" t="s">
        <v>1711</v>
      </c>
      <c r="C57" t="s">
        <v>1712</v>
      </c>
      <c r="D57">
        <v>15</v>
      </c>
      <c r="E57" t="s">
        <v>1692</v>
      </c>
      <c r="F57" t="s">
        <v>1693</v>
      </c>
      <c r="G57">
        <v>1</v>
      </c>
      <c r="H57" t="s">
        <v>1124</v>
      </c>
      <c r="I57" t="s">
        <v>1465</v>
      </c>
      <c r="J57" t="s">
        <v>1466</v>
      </c>
      <c r="L57">
        <v>33753</v>
      </c>
      <c r="M57" t="s">
        <v>1033</v>
      </c>
      <c r="N57" t="s">
        <v>1694</v>
      </c>
      <c r="O57" t="s">
        <v>1467</v>
      </c>
      <c r="Q57" s="8" t="str">
        <f>IFERROR((VLOOKUP(TRIM(C57),principal!A:G,7,0)),"REVISAR")</f>
        <v>REVISAR</v>
      </c>
    </row>
    <row r="58" spans="1:17" x14ac:dyDescent="0.3">
      <c r="A58" t="s">
        <v>1713</v>
      </c>
      <c r="B58" t="s">
        <v>1714</v>
      </c>
      <c r="C58" t="s">
        <v>100</v>
      </c>
      <c r="D58">
        <v>15</v>
      </c>
      <c r="E58" t="s">
        <v>1702</v>
      </c>
      <c r="F58" t="s">
        <v>1703</v>
      </c>
      <c r="G58">
        <v>1</v>
      </c>
      <c r="H58" t="s">
        <v>1704</v>
      </c>
      <c r="Q58" s="8" t="str">
        <f>IFERROR((VLOOKUP(TRIM(C58),principal!A:G,7,0)),"REVISAR")</f>
        <v>ACER19V158M</v>
      </c>
    </row>
    <row r="59" spans="1:17" x14ac:dyDescent="0.3">
      <c r="A59" t="s">
        <v>1715</v>
      </c>
      <c r="B59" t="s">
        <v>1716</v>
      </c>
      <c r="C59" t="s">
        <v>104</v>
      </c>
      <c r="D59">
        <v>15</v>
      </c>
      <c r="E59" t="s">
        <v>1717</v>
      </c>
      <c r="F59" t="s">
        <v>1718</v>
      </c>
      <c r="G59">
        <v>1</v>
      </c>
      <c r="H59" t="s">
        <v>1119</v>
      </c>
      <c r="I59" t="s">
        <v>1465</v>
      </c>
      <c r="J59" t="s">
        <v>1466</v>
      </c>
      <c r="L59">
        <v>45818</v>
      </c>
      <c r="M59" t="s">
        <v>1033</v>
      </c>
      <c r="N59" t="s">
        <v>1694</v>
      </c>
      <c r="O59" t="s">
        <v>1467</v>
      </c>
      <c r="Q59" s="8" t="str">
        <f>IFERROR((VLOOKUP(TRIM(C59),principal!A:G,7,0)),"REVISAR")</f>
        <v>REVISAR</v>
      </c>
    </row>
    <row r="60" spans="1:17" x14ac:dyDescent="0.3">
      <c r="A60" t="s">
        <v>1719</v>
      </c>
      <c r="B60" t="s">
        <v>1720</v>
      </c>
      <c r="C60" t="s">
        <v>102</v>
      </c>
      <c r="D60">
        <v>15</v>
      </c>
      <c r="E60" t="s">
        <v>1702</v>
      </c>
      <c r="F60" t="s">
        <v>1703</v>
      </c>
      <c r="G60">
        <v>1</v>
      </c>
      <c r="H60" t="s">
        <v>1118</v>
      </c>
      <c r="I60" t="s">
        <v>1465</v>
      </c>
      <c r="J60" t="s">
        <v>1466</v>
      </c>
      <c r="L60">
        <v>41333</v>
      </c>
      <c r="M60" t="s">
        <v>1033</v>
      </c>
      <c r="N60" t="s">
        <v>1694</v>
      </c>
      <c r="O60" t="s">
        <v>1467</v>
      </c>
      <c r="Q60" s="8" t="str">
        <f>IFERROR((VLOOKUP(TRIM(C60),principal!A:G,7,0)),"REVISAR")</f>
        <v>REVISAR</v>
      </c>
    </row>
    <row r="61" spans="1:17" x14ac:dyDescent="0.3">
      <c r="A61" t="s">
        <v>1721</v>
      </c>
      <c r="B61" t="s">
        <v>1722</v>
      </c>
      <c r="C61" t="s">
        <v>1723</v>
      </c>
      <c r="D61">
        <v>15</v>
      </c>
      <c r="E61" t="s">
        <v>1724</v>
      </c>
      <c r="F61" t="s">
        <v>1725</v>
      </c>
      <c r="G61">
        <v>1</v>
      </c>
      <c r="H61" t="s">
        <v>1114</v>
      </c>
      <c r="I61" t="s">
        <v>1465</v>
      </c>
      <c r="J61" t="s">
        <v>1466</v>
      </c>
      <c r="L61">
        <v>36230</v>
      </c>
      <c r="M61" t="s">
        <v>1033</v>
      </c>
      <c r="N61" t="s">
        <v>1694</v>
      </c>
      <c r="O61" t="s">
        <v>1467</v>
      </c>
      <c r="Q61" s="8" t="str">
        <f>IFERROR((VLOOKUP(TRIM(C61),principal!A:G,7,0)),"REVISAR")</f>
        <v>REVISAR</v>
      </c>
    </row>
    <row r="62" spans="1:17" x14ac:dyDescent="0.3">
      <c r="A62" t="s">
        <v>1726</v>
      </c>
      <c r="B62" t="s">
        <v>1727</v>
      </c>
      <c r="C62" t="s">
        <v>110</v>
      </c>
      <c r="D62">
        <v>15</v>
      </c>
      <c r="E62" t="s">
        <v>1708</v>
      </c>
      <c r="F62" t="s">
        <v>1709</v>
      </c>
      <c r="G62">
        <v>1</v>
      </c>
      <c r="H62" t="s">
        <v>1122</v>
      </c>
      <c r="I62" t="s">
        <v>1465</v>
      </c>
      <c r="J62" t="s">
        <v>1466</v>
      </c>
      <c r="L62">
        <v>46150</v>
      </c>
      <c r="M62" t="s">
        <v>1033</v>
      </c>
      <c r="N62" t="s">
        <v>1694</v>
      </c>
      <c r="O62" t="s">
        <v>1467</v>
      </c>
      <c r="Q62" s="8" t="str">
        <f>IFERROR((VLOOKUP(TRIM(C62),principal!A:G,7,0)),"REVISAR")</f>
        <v>REVISAR</v>
      </c>
    </row>
    <row r="63" spans="1:17" x14ac:dyDescent="0.3">
      <c r="A63" t="s">
        <v>1728</v>
      </c>
      <c r="B63" t="s">
        <v>1729</v>
      </c>
      <c r="C63" t="s">
        <v>1730</v>
      </c>
      <c r="D63">
        <v>15</v>
      </c>
      <c r="E63" t="s">
        <v>1731</v>
      </c>
      <c r="F63" t="s">
        <v>1732</v>
      </c>
      <c r="G63">
        <v>1</v>
      </c>
      <c r="H63" t="s">
        <v>1113</v>
      </c>
      <c r="I63" t="s">
        <v>1465</v>
      </c>
      <c r="J63" t="s">
        <v>1466</v>
      </c>
      <c r="L63">
        <v>32550</v>
      </c>
      <c r="M63" t="s">
        <v>1033</v>
      </c>
      <c r="N63" t="s">
        <v>1694</v>
      </c>
      <c r="O63" t="s">
        <v>1467</v>
      </c>
      <c r="Q63" s="8" t="str">
        <f>IFERROR((VLOOKUP(TRIM(C63),principal!A:G,7,0)),"REVISAR")</f>
        <v>REVISAR</v>
      </c>
    </row>
    <row r="64" spans="1:17" x14ac:dyDescent="0.3">
      <c r="A64" t="s">
        <v>1733</v>
      </c>
      <c r="B64" t="s">
        <v>1734</v>
      </c>
      <c r="C64" t="s">
        <v>112</v>
      </c>
      <c r="D64">
        <v>15</v>
      </c>
      <c r="E64" t="s">
        <v>1735</v>
      </c>
      <c r="F64" t="s">
        <v>1736</v>
      </c>
      <c r="G64">
        <v>1</v>
      </c>
      <c r="H64" t="s">
        <v>1123</v>
      </c>
      <c r="I64" t="s">
        <v>1465</v>
      </c>
      <c r="J64" t="s">
        <v>1466</v>
      </c>
      <c r="L64">
        <v>42202</v>
      </c>
      <c r="M64" t="s">
        <v>1033</v>
      </c>
      <c r="N64" t="s">
        <v>1694</v>
      </c>
      <c r="O64" t="s">
        <v>1467</v>
      </c>
      <c r="Q64" s="8" t="str">
        <f>IFERROR((VLOOKUP(TRIM(C64),principal!A:G,7,0)),"REVISAR")</f>
        <v>REVISAR</v>
      </c>
    </row>
    <row r="65" spans="1:17" x14ac:dyDescent="0.3">
      <c r="A65" t="s">
        <v>1737</v>
      </c>
      <c r="B65" t="s">
        <v>1738</v>
      </c>
      <c r="C65" t="s">
        <v>108</v>
      </c>
      <c r="D65">
        <v>15</v>
      </c>
      <c r="E65" t="s">
        <v>1708</v>
      </c>
      <c r="F65" t="s">
        <v>1709</v>
      </c>
      <c r="G65">
        <v>1</v>
      </c>
      <c r="H65" t="s">
        <v>1121</v>
      </c>
      <c r="I65" t="s">
        <v>1465</v>
      </c>
      <c r="J65" t="s">
        <v>1466</v>
      </c>
      <c r="L65">
        <v>46150</v>
      </c>
      <c r="M65" t="s">
        <v>1033</v>
      </c>
      <c r="N65" t="s">
        <v>1694</v>
      </c>
      <c r="O65" t="s">
        <v>1467</v>
      </c>
      <c r="Q65" s="8" t="str">
        <f>IFERROR((VLOOKUP(TRIM(C65),principal!A:G,7,0)),"REVISAR")</f>
        <v>REVISAR</v>
      </c>
    </row>
    <row r="66" spans="1:17" x14ac:dyDescent="0.3">
      <c r="A66" t="s">
        <v>1739</v>
      </c>
      <c r="B66" t="s">
        <v>1740</v>
      </c>
      <c r="C66" t="s">
        <v>106</v>
      </c>
      <c r="D66">
        <v>15</v>
      </c>
      <c r="E66" t="s">
        <v>1741</v>
      </c>
      <c r="F66" t="s">
        <v>1742</v>
      </c>
      <c r="G66">
        <v>1</v>
      </c>
      <c r="H66" t="s">
        <v>1120</v>
      </c>
      <c r="I66" t="s">
        <v>1465</v>
      </c>
      <c r="J66" t="s">
        <v>1466</v>
      </c>
      <c r="L66">
        <v>51264</v>
      </c>
      <c r="M66" t="s">
        <v>1033</v>
      </c>
      <c r="N66" t="s">
        <v>1694</v>
      </c>
      <c r="O66" t="s">
        <v>1467</v>
      </c>
      <c r="Q66" s="8" t="str">
        <f>IFERROR((VLOOKUP(TRIM(C66),principal!A:G,7,0)),"REVISAR")</f>
        <v>LEN20STC</v>
      </c>
    </row>
    <row r="67" spans="1:17" x14ac:dyDescent="0.3">
      <c r="A67" t="s">
        <v>1743</v>
      </c>
      <c r="B67" t="s">
        <v>1744</v>
      </c>
      <c r="C67" t="s">
        <v>1745</v>
      </c>
      <c r="D67">
        <v>15</v>
      </c>
      <c r="E67" t="s">
        <v>1746</v>
      </c>
      <c r="F67" t="s">
        <v>1747</v>
      </c>
      <c r="G67">
        <v>1</v>
      </c>
      <c r="H67" t="s">
        <v>1748</v>
      </c>
      <c r="I67" t="s">
        <v>1465</v>
      </c>
      <c r="J67" t="s">
        <v>1466</v>
      </c>
      <c r="L67">
        <v>12769</v>
      </c>
      <c r="M67" t="s">
        <v>1033</v>
      </c>
      <c r="N67" t="s">
        <v>1034</v>
      </c>
      <c r="O67" t="s">
        <v>1467</v>
      </c>
      <c r="Q67" s="8" t="str">
        <f>IFERROR((VLOOKUP(TRIM(C67),principal!A:G,7,0)),"REVISAR")</f>
        <v>REVISAR</v>
      </c>
    </row>
    <row r="68" spans="1:17" x14ac:dyDescent="0.3">
      <c r="A68" t="s">
        <v>1749</v>
      </c>
      <c r="B68" t="s">
        <v>1750</v>
      </c>
      <c r="C68" t="s">
        <v>124</v>
      </c>
      <c r="D68">
        <v>15</v>
      </c>
      <c r="E68" t="s">
        <v>1751</v>
      </c>
      <c r="F68" t="s">
        <v>1752</v>
      </c>
      <c r="G68">
        <v>1</v>
      </c>
      <c r="H68" t="s">
        <v>1129</v>
      </c>
      <c r="I68" t="s">
        <v>1465</v>
      </c>
      <c r="J68" t="s">
        <v>1466</v>
      </c>
      <c r="L68">
        <v>21656</v>
      </c>
      <c r="M68" t="s">
        <v>1033</v>
      </c>
      <c r="N68" t="s">
        <v>1034</v>
      </c>
      <c r="O68" t="s">
        <v>1467</v>
      </c>
      <c r="Q68" s="8" t="str">
        <f>IFERROR((VLOOKUP(TRIM(C68),principal!A:G,7,0)),"REVISAR")</f>
        <v>REVISAR</v>
      </c>
    </row>
    <row r="69" spans="1:17" x14ac:dyDescent="0.3">
      <c r="A69" t="s">
        <v>1753</v>
      </c>
      <c r="B69" t="s">
        <v>1754</v>
      </c>
      <c r="C69" t="s">
        <v>122</v>
      </c>
      <c r="D69">
        <v>15</v>
      </c>
      <c r="E69" t="s">
        <v>1755</v>
      </c>
      <c r="F69" t="s">
        <v>1756</v>
      </c>
      <c r="G69">
        <v>1</v>
      </c>
      <c r="H69" t="s">
        <v>1704</v>
      </c>
      <c r="Q69" s="8" t="str">
        <f>IFERROR((VLOOKUP(TRIM(C69),principal!A:G,7,0)),"REVISAR")</f>
        <v>REVISAR</v>
      </c>
    </row>
    <row r="70" spans="1:17" x14ac:dyDescent="0.3">
      <c r="A70" t="s">
        <v>1757</v>
      </c>
      <c r="B70" t="s">
        <v>1758</v>
      </c>
      <c r="C70" t="s">
        <v>120</v>
      </c>
      <c r="D70">
        <v>15</v>
      </c>
      <c r="E70" t="s">
        <v>1759</v>
      </c>
      <c r="F70" t="s">
        <v>1760</v>
      </c>
      <c r="G70">
        <v>1</v>
      </c>
      <c r="H70" t="s">
        <v>1704</v>
      </c>
      <c r="Q70" s="8" t="str">
        <f>IFERROR((VLOOKUP(TRIM(C70),principal!A:G,7,0)),"REVISAR")</f>
        <v>CARRYM2</v>
      </c>
    </row>
    <row r="71" spans="1:17" x14ac:dyDescent="0.3">
      <c r="A71" t="s">
        <v>1761</v>
      </c>
      <c r="B71" t="s">
        <v>1762</v>
      </c>
      <c r="C71" t="s">
        <v>174</v>
      </c>
      <c r="D71">
        <v>0</v>
      </c>
      <c r="E71" t="s">
        <v>1674</v>
      </c>
      <c r="F71" t="s">
        <v>1675</v>
      </c>
      <c r="G71">
        <v>1</v>
      </c>
      <c r="H71" t="s">
        <v>1152</v>
      </c>
      <c r="I71" t="s">
        <v>1465</v>
      </c>
      <c r="J71" t="s">
        <v>1466</v>
      </c>
      <c r="L71">
        <v>6385</v>
      </c>
      <c r="M71" t="s">
        <v>1494</v>
      </c>
      <c r="N71" t="s">
        <v>1065</v>
      </c>
      <c r="O71" t="s">
        <v>1467</v>
      </c>
      <c r="Q71" s="8" t="str">
        <f>IFERROR((VLOOKUP(TRIM(C71),principal!A:G,7,0)),"REVISAR")</f>
        <v>REVISAR</v>
      </c>
    </row>
    <row r="72" spans="1:17" x14ac:dyDescent="0.3">
      <c r="A72" t="s">
        <v>1763</v>
      </c>
      <c r="B72" t="s">
        <v>1764</v>
      </c>
      <c r="C72" t="s">
        <v>176</v>
      </c>
      <c r="D72">
        <v>0</v>
      </c>
      <c r="E72" t="s">
        <v>1674</v>
      </c>
      <c r="F72" t="s">
        <v>1675</v>
      </c>
      <c r="G72">
        <v>1</v>
      </c>
      <c r="H72" t="s">
        <v>1153</v>
      </c>
      <c r="I72" t="s">
        <v>1465</v>
      </c>
      <c r="J72" t="s">
        <v>1466</v>
      </c>
      <c r="L72">
        <v>6385</v>
      </c>
      <c r="M72" t="s">
        <v>1494</v>
      </c>
      <c r="N72" t="s">
        <v>1065</v>
      </c>
      <c r="O72" t="s">
        <v>1467</v>
      </c>
      <c r="Q72" s="8" t="str">
        <f>IFERROR((VLOOKUP(TRIM(C72),principal!A:G,7,0)),"REVISAR")</f>
        <v>REVISAR</v>
      </c>
    </row>
    <row r="73" spans="1:17" x14ac:dyDescent="0.3">
      <c r="A73" t="s">
        <v>1765</v>
      </c>
      <c r="B73" t="s">
        <v>1766</v>
      </c>
      <c r="C73" t="s">
        <v>218</v>
      </c>
      <c r="D73">
        <v>0</v>
      </c>
      <c r="E73" t="s">
        <v>1767</v>
      </c>
      <c r="F73" t="s">
        <v>1768</v>
      </c>
      <c r="G73">
        <v>1</v>
      </c>
      <c r="H73" t="s">
        <v>1154</v>
      </c>
      <c r="I73" t="s">
        <v>1465</v>
      </c>
      <c r="J73" t="s">
        <v>1466</v>
      </c>
      <c r="L73">
        <v>4195</v>
      </c>
      <c r="M73" t="s">
        <v>1494</v>
      </c>
      <c r="N73" t="s">
        <v>1065</v>
      </c>
      <c r="O73" t="s">
        <v>1467</v>
      </c>
      <c r="Q73" s="8" t="str">
        <f>IFERROR((VLOOKUP(TRIM(C73),principal!A:G,7,0)),"REVISAR")</f>
        <v>REVISAR</v>
      </c>
    </row>
    <row r="74" spans="1:17" x14ac:dyDescent="0.3">
      <c r="A74" t="s">
        <v>1769</v>
      </c>
      <c r="B74" t="s">
        <v>1770</v>
      </c>
      <c r="C74" t="s">
        <v>1771</v>
      </c>
      <c r="D74">
        <v>0</v>
      </c>
      <c r="E74" t="s">
        <v>1772</v>
      </c>
      <c r="F74" t="s">
        <v>1773</v>
      </c>
      <c r="G74">
        <v>1</v>
      </c>
      <c r="H74" t="s">
        <v>1154</v>
      </c>
      <c r="I74" t="s">
        <v>1465</v>
      </c>
      <c r="J74" t="s">
        <v>1466</v>
      </c>
      <c r="L74">
        <v>9146</v>
      </c>
      <c r="M74" t="s">
        <v>1494</v>
      </c>
      <c r="N74" t="s">
        <v>1065</v>
      </c>
      <c r="O74" t="s">
        <v>1467</v>
      </c>
      <c r="Q74" s="8" t="str">
        <f>IFERROR((VLOOKUP(TRIM(C74),principal!A:G,7,0)),"REVISAR")</f>
        <v>REVISAR</v>
      </c>
    </row>
    <row r="75" spans="1:17" x14ac:dyDescent="0.3">
      <c r="A75" t="s">
        <v>1774</v>
      </c>
      <c r="B75" t="s">
        <v>1775</v>
      </c>
      <c r="C75" t="s">
        <v>1776</v>
      </c>
      <c r="D75">
        <v>0</v>
      </c>
      <c r="E75" t="s">
        <v>1777</v>
      </c>
      <c r="F75" t="s">
        <v>1778</v>
      </c>
      <c r="G75">
        <v>1</v>
      </c>
      <c r="H75" t="s">
        <v>1154</v>
      </c>
      <c r="I75" t="s">
        <v>1465</v>
      </c>
      <c r="J75" t="s">
        <v>1466</v>
      </c>
      <c r="L75">
        <v>6974</v>
      </c>
      <c r="M75" t="s">
        <v>1494</v>
      </c>
      <c r="N75" t="s">
        <v>1065</v>
      </c>
      <c r="O75" t="s">
        <v>1467</v>
      </c>
      <c r="Q75" s="8" t="str">
        <f>IFERROR((VLOOKUP(TRIM(C75),principal!A:G,7,0)),"REVISAR")</f>
        <v>REVISAR</v>
      </c>
    </row>
    <row r="76" spans="1:17" x14ac:dyDescent="0.3">
      <c r="A76" t="s">
        <v>1779</v>
      </c>
      <c r="B76" t="s">
        <v>1780</v>
      </c>
      <c r="C76" t="s">
        <v>130</v>
      </c>
      <c r="D76">
        <v>0</v>
      </c>
      <c r="E76" t="s">
        <v>1781</v>
      </c>
      <c r="F76" t="s">
        <v>1782</v>
      </c>
      <c r="G76">
        <v>1</v>
      </c>
      <c r="H76" t="s">
        <v>1132</v>
      </c>
      <c r="I76" t="s">
        <v>1465</v>
      </c>
      <c r="J76" t="s">
        <v>1466</v>
      </c>
      <c r="L76">
        <v>28153</v>
      </c>
      <c r="M76" t="s">
        <v>1494</v>
      </c>
      <c r="N76" t="s">
        <v>1065</v>
      </c>
      <c r="O76" t="s">
        <v>1467</v>
      </c>
      <c r="Q76" s="8" t="str">
        <f>IFERROR((VLOOKUP(TRIM(C76),principal!A:G,7,0)),"REVISAR")</f>
        <v>T544420</v>
      </c>
    </row>
    <row r="77" spans="1:17" x14ac:dyDescent="0.3">
      <c r="A77" t="s">
        <v>1783</v>
      </c>
      <c r="B77" t="s">
        <v>1784</v>
      </c>
      <c r="C77" t="s">
        <v>132</v>
      </c>
      <c r="D77">
        <v>0</v>
      </c>
      <c r="E77" t="s">
        <v>1781</v>
      </c>
      <c r="F77" t="s">
        <v>1782</v>
      </c>
      <c r="G77">
        <v>1</v>
      </c>
      <c r="H77" t="s">
        <v>1133</v>
      </c>
      <c r="I77" t="s">
        <v>1465</v>
      </c>
      <c r="J77" t="s">
        <v>1466</v>
      </c>
      <c r="L77">
        <v>28153</v>
      </c>
      <c r="M77" t="s">
        <v>1494</v>
      </c>
      <c r="N77" t="s">
        <v>1065</v>
      </c>
      <c r="O77" t="s">
        <v>1467</v>
      </c>
      <c r="Q77" s="8" t="str">
        <f>IFERROR((VLOOKUP(TRIM(C77),principal!A:G,7,0)),"REVISAR")</f>
        <v>T544220</v>
      </c>
    </row>
    <row r="78" spans="1:17" x14ac:dyDescent="0.3">
      <c r="A78" t="s">
        <v>1785</v>
      </c>
      <c r="B78" t="s">
        <v>1786</v>
      </c>
      <c r="C78" t="s">
        <v>128</v>
      </c>
      <c r="D78">
        <v>0</v>
      </c>
      <c r="E78" t="s">
        <v>1787</v>
      </c>
      <c r="F78" t="s">
        <v>1788</v>
      </c>
      <c r="G78">
        <v>1</v>
      </c>
      <c r="H78" t="s">
        <v>1131</v>
      </c>
      <c r="I78" t="s">
        <v>1465</v>
      </c>
      <c r="J78" t="s">
        <v>1466</v>
      </c>
      <c r="L78">
        <v>28296</v>
      </c>
      <c r="M78" t="s">
        <v>1494</v>
      </c>
      <c r="N78" t="s">
        <v>1065</v>
      </c>
      <c r="O78" t="s">
        <v>1467</v>
      </c>
      <c r="Q78" s="8" t="str">
        <f>IFERROR((VLOOKUP(TRIM(C78),principal!A:G,7,0)),"REVISAR")</f>
        <v>T544320</v>
      </c>
    </row>
    <row r="79" spans="1:17" x14ac:dyDescent="0.3">
      <c r="A79" t="s">
        <v>1789</v>
      </c>
      <c r="B79" t="s">
        <v>1790</v>
      </c>
      <c r="C79" t="s">
        <v>1791</v>
      </c>
      <c r="D79">
        <v>0</v>
      </c>
      <c r="E79" t="s">
        <v>1792</v>
      </c>
      <c r="F79" t="s">
        <v>1793</v>
      </c>
      <c r="G79">
        <v>1</v>
      </c>
      <c r="H79" t="s">
        <v>1130</v>
      </c>
      <c r="I79" t="s">
        <v>1465</v>
      </c>
      <c r="J79" t="s">
        <v>1466</v>
      </c>
      <c r="L79">
        <v>36136</v>
      </c>
      <c r="M79" t="s">
        <v>1494</v>
      </c>
      <c r="N79" t="s">
        <v>1065</v>
      </c>
      <c r="O79" t="s">
        <v>1467</v>
      </c>
      <c r="Q79" s="8" t="str">
        <f>IFERROR((VLOOKUP(TRIM(C79),principal!A:G,7,0)),"REVISAR")</f>
        <v>REVISAR</v>
      </c>
    </row>
    <row r="80" spans="1:17" x14ac:dyDescent="0.3">
      <c r="A80" t="s">
        <v>1794</v>
      </c>
      <c r="B80" t="s">
        <v>1795</v>
      </c>
      <c r="C80" t="s">
        <v>1796</v>
      </c>
      <c r="D80">
        <v>0</v>
      </c>
      <c r="E80" t="s">
        <v>1797</v>
      </c>
      <c r="F80" t="s">
        <v>1798</v>
      </c>
      <c r="G80">
        <v>1</v>
      </c>
      <c r="H80" t="s">
        <v>1704</v>
      </c>
      <c r="Q80" s="8" t="str">
        <f>IFERROR((VLOOKUP(TRIM(C80),principal!A:G,7,0)),"REVISAR")</f>
        <v>REVISAR</v>
      </c>
    </row>
    <row r="81" spans="1:17" x14ac:dyDescent="0.3">
      <c r="A81" t="s">
        <v>1799</v>
      </c>
      <c r="B81" t="s">
        <v>1800</v>
      </c>
      <c r="C81" t="s">
        <v>136</v>
      </c>
      <c r="D81">
        <v>0</v>
      </c>
      <c r="E81" t="s">
        <v>1797</v>
      </c>
      <c r="F81" t="s">
        <v>1798</v>
      </c>
      <c r="G81">
        <v>1</v>
      </c>
      <c r="H81" t="s">
        <v>1704</v>
      </c>
      <c r="Q81" s="8" t="str">
        <f>IFERROR((VLOOKUP(TRIM(C81),principal!A:G,7,0)),"REVISAR")</f>
        <v>T504220</v>
      </c>
    </row>
    <row r="82" spans="1:17" x14ac:dyDescent="0.3">
      <c r="A82" t="s">
        <v>1801</v>
      </c>
      <c r="B82" t="s">
        <v>1802</v>
      </c>
      <c r="C82" t="s">
        <v>1803</v>
      </c>
      <c r="D82">
        <v>0</v>
      </c>
      <c r="E82" t="s">
        <v>1797</v>
      </c>
      <c r="F82" t="s">
        <v>1798</v>
      </c>
      <c r="G82">
        <v>1</v>
      </c>
      <c r="H82" t="s">
        <v>1704</v>
      </c>
      <c r="Q82" s="8" t="str">
        <f>IFERROR((VLOOKUP(TRIM(C82),principal!A:G,7,0)),"REVISAR")</f>
        <v>REVISAR</v>
      </c>
    </row>
    <row r="83" spans="1:17" x14ac:dyDescent="0.3">
      <c r="A83" t="s">
        <v>1804</v>
      </c>
      <c r="B83" t="s">
        <v>1805</v>
      </c>
      <c r="C83" t="s">
        <v>1806</v>
      </c>
      <c r="D83">
        <v>0</v>
      </c>
      <c r="E83" t="s">
        <v>1807</v>
      </c>
      <c r="F83" t="s">
        <v>1808</v>
      </c>
      <c r="G83">
        <v>1</v>
      </c>
      <c r="H83" t="s">
        <v>1704</v>
      </c>
      <c r="Q83" s="8" t="str">
        <f>IFERROR((VLOOKUP(TRIM(C83),principal!A:G,7,0)),"REVISAR")</f>
        <v>REVISAR</v>
      </c>
    </row>
    <row r="84" spans="1:17" x14ac:dyDescent="0.3">
      <c r="A84" t="s">
        <v>1809</v>
      </c>
      <c r="B84" t="s">
        <v>1810</v>
      </c>
      <c r="C84" t="s">
        <v>1811</v>
      </c>
      <c r="D84">
        <v>0</v>
      </c>
      <c r="E84" t="s">
        <v>1812</v>
      </c>
      <c r="F84" t="s">
        <v>1813</v>
      </c>
      <c r="G84">
        <v>1</v>
      </c>
      <c r="H84" t="s">
        <v>1147</v>
      </c>
      <c r="I84" t="s">
        <v>1465</v>
      </c>
      <c r="J84" t="s">
        <v>1466</v>
      </c>
      <c r="L84">
        <v>13189</v>
      </c>
      <c r="M84" t="s">
        <v>1494</v>
      </c>
      <c r="N84" t="s">
        <v>1065</v>
      </c>
      <c r="O84" t="s">
        <v>1467</v>
      </c>
      <c r="Q84" s="8" t="str">
        <f>IFERROR((VLOOKUP(TRIM(C84),principal!A:G,7,0)),"REVISAR")</f>
        <v>REVISAR</v>
      </c>
    </row>
    <row r="85" spans="1:17" x14ac:dyDescent="0.3">
      <c r="A85" t="s">
        <v>1814</v>
      </c>
      <c r="B85" t="s">
        <v>1815</v>
      </c>
      <c r="C85" t="s">
        <v>156</v>
      </c>
      <c r="D85">
        <v>0</v>
      </c>
      <c r="E85" t="s">
        <v>1812</v>
      </c>
      <c r="F85" t="s">
        <v>1813</v>
      </c>
      <c r="G85">
        <v>1</v>
      </c>
      <c r="H85" t="s">
        <v>1145</v>
      </c>
      <c r="I85" t="s">
        <v>1465</v>
      </c>
      <c r="J85" t="s">
        <v>1466</v>
      </c>
      <c r="L85">
        <v>13189</v>
      </c>
      <c r="M85" t="s">
        <v>1494</v>
      </c>
      <c r="N85" t="s">
        <v>1065</v>
      </c>
      <c r="O85" t="s">
        <v>1467</v>
      </c>
      <c r="Q85" s="8" t="str">
        <f>IFERROR((VLOOKUP(TRIM(C85),principal!A:G,7,0)),"REVISAR")</f>
        <v>CART734</v>
      </c>
    </row>
    <row r="86" spans="1:17" x14ac:dyDescent="0.3">
      <c r="A86" t="s">
        <v>1816</v>
      </c>
      <c r="B86" t="s">
        <v>1817</v>
      </c>
      <c r="C86" t="s">
        <v>158</v>
      </c>
      <c r="D86">
        <v>0</v>
      </c>
      <c r="E86" t="s">
        <v>1812</v>
      </c>
      <c r="F86" t="s">
        <v>1813</v>
      </c>
      <c r="G86">
        <v>1</v>
      </c>
      <c r="H86" t="s">
        <v>1146</v>
      </c>
      <c r="I86" t="s">
        <v>1465</v>
      </c>
      <c r="J86" t="s">
        <v>1466</v>
      </c>
      <c r="L86">
        <v>13189</v>
      </c>
      <c r="M86" t="s">
        <v>1494</v>
      </c>
      <c r="N86" t="s">
        <v>1065</v>
      </c>
      <c r="O86" t="s">
        <v>1467</v>
      </c>
      <c r="Q86" s="8" t="str">
        <f>IFERROR((VLOOKUP(TRIM(C86),principal!A:G,7,0)),"REVISAR")</f>
        <v>CART133A</v>
      </c>
    </row>
    <row r="87" spans="1:17" x14ac:dyDescent="0.3">
      <c r="A87" t="s">
        <v>1818</v>
      </c>
      <c r="B87" t="s">
        <v>1819</v>
      </c>
      <c r="C87" t="s">
        <v>148</v>
      </c>
      <c r="D87">
        <v>0</v>
      </c>
      <c r="E87" t="s">
        <v>1820</v>
      </c>
      <c r="F87" t="s">
        <v>1821</v>
      </c>
      <c r="G87">
        <v>1</v>
      </c>
      <c r="H87" t="s">
        <v>1141</v>
      </c>
      <c r="I87" t="s">
        <v>1465</v>
      </c>
      <c r="J87" t="s">
        <v>1466</v>
      </c>
      <c r="L87">
        <v>27656</v>
      </c>
      <c r="M87" t="s">
        <v>1494</v>
      </c>
      <c r="N87" t="s">
        <v>1065</v>
      </c>
      <c r="O87" t="s">
        <v>1467</v>
      </c>
      <c r="Q87" s="8" t="str">
        <f>IFERROR((VLOOKUP(TRIM(C87),principal!A:G,7,0)),"REVISAR")</f>
        <v>CARL200N</v>
      </c>
    </row>
    <row r="88" spans="1:17" x14ac:dyDescent="0.3">
      <c r="A88" t="s">
        <v>1822</v>
      </c>
      <c r="B88" t="s">
        <v>1823</v>
      </c>
      <c r="C88" t="s">
        <v>142</v>
      </c>
      <c r="D88">
        <v>0</v>
      </c>
      <c r="E88" t="s">
        <v>1824</v>
      </c>
      <c r="F88" t="s">
        <v>1825</v>
      </c>
      <c r="G88">
        <v>1</v>
      </c>
      <c r="H88" t="s">
        <v>1138</v>
      </c>
      <c r="I88" t="s">
        <v>1465</v>
      </c>
      <c r="J88" t="s">
        <v>1466</v>
      </c>
      <c r="L88">
        <v>26108</v>
      </c>
      <c r="M88" t="s">
        <v>1494</v>
      </c>
      <c r="N88" t="s">
        <v>1065</v>
      </c>
      <c r="O88" t="s">
        <v>1467</v>
      </c>
      <c r="Q88" s="8" t="str">
        <f>IFERROR((VLOOKUP(TRIM(C88),principal!A:G,7,0)),"REVISAR")</f>
        <v>CARL200C</v>
      </c>
    </row>
    <row r="89" spans="1:17" x14ac:dyDescent="0.3">
      <c r="A89" t="s">
        <v>1826</v>
      </c>
      <c r="B89" t="s">
        <v>1827</v>
      </c>
      <c r="C89" t="s">
        <v>1828</v>
      </c>
      <c r="D89">
        <v>0</v>
      </c>
      <c r="E89" t="s">
        <v>1824</v>
      </c>
      <c r="F89" t="s">
        <v>1825</v>
      </c>
      <c r="G89">
        <v>1</v>
      </c>
      <c r="H89" t="s">
        <v>1139</v>
      </c>
      <c r="I89" t="s">
        <v>1465</v>
      </c>
      <c r="J89" t="s">
        <v>1466</v>
      </c>
      <c r="L89">
        <v>26108</v>
      </c>
      <c r="M89" t="s">
        <v>1494</v>
      </c>
      <c r="N89" t="s">
        <v>1065</v>
      </c>
      <c r="O89" t="s">
        <v>1467</v>
      </c>
      <c r="Q89" s="8" t="str">
        <f>IFERROR((VLOOKUP(TRIM(C89),principal!A:G,7,0)),"REVISAR")</f>
        <v>REVISAR</v>
      </c>
    </row>
    <row r="90" spans="1:17" x14ac:dyDescent="0.3">
      <c r="A90" t="s">
        <v>1829</v>
      </c>
      <c r="B90" t="s">
        <v>1830</v>
      </c>
      <c r="C90" t="s">
        <v>146</v>
      </c>
      <c r="D90">
        <v>0</v>
      </c>
      <c r="E90" t="s">
        <v>1824</v>
      </c>
      <c r="F90" t="s">
        <v>1825</v>
      </c>
      <c r="G90">
        <v>1</v>
      </c>
      <c r="H90" t="s">
        <v>1140</v>
      </c>
      <c r="I90" t="s">
        <v>1465</v>
      </c>
      <c r="J90" t="s">
        <v>1466</v>
      </c>
      <c r="L90">
        <v>26108</v>
      </c>
      <c r="M90" t="s">
        <v>1494</v>
      </c>
      <c r="N90" t="s">
        <v>1065</v>
      </c>
      <c r="O90" t="s">
        <v>1467</v>
      </c>
      <c r="Q90" s="8" t="str">
        <f>IFERROR((VLOOKUP(TRIM(C90),principal!A:G,7,0)),"REVISAR")</f>
        <v>CARL200A</v>
      </c>
    </row>
    <row r="91" spans="1:17" x14ac:dyDescent="0.3">
      <c r="A91" t="s">
        <v>1831</v>
      </c>
      <c r="B91" t="s">
        <v>1832</v>
      </c>
      <c r="C91" t="s">
        <v>150</v>
      </c>
      <c r="D91">
        <v>0</v>
      </c>
      <c r="E91" t="s">
        <v>1833</v>
      </c>
      <c r="F91" t="s">
        <v>1834</v>
      </c>
      <c r="G91">
        <v>1</v>
      </c>
      <c r="H91" t="s">
        <v>1142</v>
      </c>
      <c r="I91" t="s">
        <v>1465</v>
      </c>
      <c r="J91" t="s">
        <v>1466</v>
      </c>
      <c r="L91">
        <v>48629</v>
      </c>
      <c r="M91" t="s">
        <v>1494</v>
      </c>
      <c r="N91" t="s">
        <v>1065</v>
      </c>
      <c r="O91" t="s">
        <v>1467</v>
      </c>
      <c r="Q91" s="8" t="str">
        <f>IFERROR((VLOOKUP(TRIM(C91),principal!A:G,7,0)),"REVISAR")</f>
        <v>CARL800C</v>
      </c>
    </row>
    <row r="92" spans="1:17" x14ac:dyDescent="0.3">
      <c r="A92" t="s">
        <v>1835</v>
      </c>
      <c r="B92" t="s">
        <v>1836</v>
      </c>
      <c r="C92" t="s">
        <v>154</v>
      </c>
      <c r="D92">
        <v>0</v>
      </c>
      <c r="E92" t="s">
        <v>1833</v>
      </c>
      <c r="F92" t="s">
        <v>1834</v>
      </c>
      <c r="G92">
        <v>1</v>
      </c>
      <c r="H92" t="s">
        <v>1144</v>
      </c>
      <c r="I92" t="s">
        <v>1465</v>
      </c>
      <c r="J92" t="s">
        <v>1466</v>
      </c>
      <c r="L92">
        <v>48629</v>
      </c>
      <c r="M92" t="s">
        <v>1494</v>
      </c>
      <c r="N92" t="s">
        <v>1065</v>
      </c>
      <c r="O92" t="s">
        <v>1467</v>
      </c>
      <c r="Q92" s="8" t="str">
        <f>IFERROR((VLOOKUP(TRIM(C92),principal!A:G,7,0)),"REVISAR")</f>
        <v>CARL800M</v>
      </c>
    </row>
    <row r="93" spans="1:17" x14ac:dyDescent="0.3">
      <c r="A93" t="s">
        <v>1837</v>
      </c>
      <c r="B93" t="s">
        <v>1838</v>
      </c>
      <c r="C93" t="s">
        <v>152</v>
      </c>
      <c r="D93">
        <v>0</v>
      </c>
      <c r="E93" t="s">
        <v>1833</v>
      </c>
      <c r="F93" t="s">
        <v>1834</v>
      </c>
      <c r="G93">
        <v>1</v>
      </c>
      <c r="H93" t="s">
        <v>1143</v>
      </c>
      <c r="I93" t="s">
        <v>1465</v>
      </c>
      <c r="J93" t="s">
        <v>1466</v>
      </c>
      <c r="L93">
        <v>48629</v>
      </c>
      <c r="M93" t="s">
        <v>1494</v>
      </c>
      <c r="N93" t="s">
        <v>1065</v>
      </c>
      <c r="O93" t="s">
        <v>1467</v>
      </c>
      <c r="Q93" s="8" t="str">
        <f>IFERROR((VLOOKUP(TRIM(C93),principal!A:G,7,0)),"REVISAR")</f>
        <v>CARL800LC</v>
      </c>
    </row>
    <row r="94" spans="1:17" x14ac:dyDescent="0.3">
      <c r="A94" t="s">
        <v>1839</v>
      </c>
      <c r="B94" t="s">
        <v>1840</v>
      </c>
      <c r="C94" t="s">
        <v>246</v>
      </c>
      <c r="D94">
        <v>0</v>
      </c>
      <c r="E94" t="s">
        <v>1841</v>
      </c>
      <c r="F94" t="s">
        <v>1842</v>
      </c>
      <c r="G94">
        <v>1</v>
      </c>
      <c r="H94" t="s">
        <v>1704</v>
      </c>
    </row>
    <row r="95" spans="1:17" x14ac:dyDescent="0.3">
      <c r="A95" t="s">
        <v>1843</v>
      </c>
      <c r="B95" t="s">
        <v>1844</v>
      </c>
      <c r="C95" t="s">
        <v>244</v>
      </c>
      <c r="D95">
        <v>0</v>
      </c>
      <c r="E95" t="s">
        <v>1841</v>
      </c>
      <c r="F95" t="s">
        <v>1842</v>
      </c>
      <c r="G95">
        <v>1</v>
      </c>
      <c r="H95" t="s">
        <v>1704</v>
      </c>
    </row>
    <row r="96" spans="1:17" x14ac:dyDescent="0.3">
      <c r="A96" t="s">
        <v>1845</v>
      </c>
      <c r="B96" t="s">
        <v>1846</v>
      </c>
      <c r="C96" t="s">
        <v>248</v>
      </c>
      <c r="D96">
        <v>0</v>
      </c>
      <c r="E96" t="s">
        <v>1841</v>
      </c>
      <c r="F96" t="s">
        <v>1842</v>
      </c>
      <c r="G96">
        <v>1</v>
      </c>
      <c r="H96" t="s">
        <v>1704</v>
      </c>
    </row>
    <row r="97" spans="1:8" x14ac:dyDescent="0.3">
      <c r="A97" t="s">
        <v>1847</v>
      </c>
      <c r="B97" t="s">
        <v>1848</v>
      </c>
      <c r="C97" t="s">
        <v>242</v>
      </c>
      <c r="D97">
        <v>0</v>
      </c>
      <c r="E97" t="s">
        <v>1849</v>
      </c>
      <c r="F97" t="s">
        <v>1850</v>
      </c>
      <c r="G97">
        <v>1</v>
      </c>
      <c r="H97" t="s">
        <v>1704</v>
      </c>
    </row>
    <row r="98" spans="1:8" x14ac:dyDescent="0.3">
      <c r="A98" t="s">
        <v>1851</v>
      </c>
      <c r="B98" t="s">
        <v>1852</v>
      </c>
      <c r="C98" t="s">
        <v>250</v>
      </c>
      <c r="D98">
        <v>0</v>
      </c>
      <c r="E98" t="s">
        <v>1853</v>
      </c>
      <c r="F98" t="s">
        <v>1854</v>
      </c>
      <c r="G98">
        <v>1</v>
      </c>
      <c r="H98" t="s">
        <v>1704</v>
      </c>
    </row>
    <row r="99" spans="1:8" x14ac:dyDescent="0.3">
      <c r="A99" t="s">
        <v>1855</v>
      </c>
      <c r="B99" t="s">
        <v>1856</v>
      </c>
      <c r="C99" t="s">
        <v>254</v>
      </c>
      <c r="D99">
        <v>0</v>
      </c>
      <c r="E99" t="s">
        <v>1857</v>
      </c>
      <c r="F99" t="s">
        <v>1858</v>
      </c>
      <c r="G99">
        <v>1</v>
      </c>
      <c r="H99" t="s">
        <v>1704</v>
      </c>
    </row>
    <row r="100" spans="1:8" x14ac:dyDescent="0.3">
      <c r="A100" t="s">
        <v>1859</v>
      </c>
      <c r="B100" t="s">
        <v>1860</v>
      </c>
      <c r="C100" t="s">
        <v>252</v>
      </c>
      <c r="D100">
        <v>0</v>
      </c>
      <c r="E100" t="s">
        <v>1857</v>
      </c>
      <c r="F100" t="s">
        <v>1858</v>
      </c>
      <c r="G100">
        <v>1</v>
      </c>
      <c r="H100" t="s">
        <v>1704</v>
      </c>
    </row>
    <row r="101" spans="1:8" x14ac:dyDescent="0.3">
      <c r="A101" t="s">
        <v>1861</v>
      </c>
      <c r="B101" t="s">
        <v>1862</v>
      </c>
      <c r="C101" t="s">
        <v>256</v>
      </c>
      <c r="D101">
        <v>0</v>
      </c>
      <c r="E101" t="s">
        <v>1857</v>
      </c>
      <c r="F101" t="s">
        <v>1858</v>
      </c>
      <c r="G101">
        <v>1</v>
      </c>
      <c r="H101" t="s">
        <v>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principal</vt:lpstr>
      <vt:lpstr>categorias</vt:lpstr>
      <vt:lpstr>nuevos productoss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Julián Muñoz</dc:creator>
  <cp:lastModifiedBy>Mariano Julián Muñoz</cp:lastModifiedBy>
  <dcterms:created xsi:type="dcterms:W3CDTF">2025-11-27T13:05:23Z</dcterms:created>
  <dcterms:modified xsi:type="dcterms:W3CDTF">2025-12-18T17:50:15Z</dcterms:modified>
</cp:coreProperties>
</file>